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tems" state="visible" r:id="rId4"/>
    <sheet sheetId="2" name="BOM" state="visible" r:id="rId5"/>
    <sheet sheetId="3" name="Inventory" state="visible" r:id="rId6"/>
    <sheet sheetId="4" name="Sales Orders" state="visible" r:id="rId7"/>
    <sheet sheetId="5" name="Purchase Orders" state="visible" r:id="rId8"/>
    <sheet sheetId="6" name="Production" state="visible" r:id="rId9"/>
    <sheet sheetId="7" name="Trial Balance" state="visible" r:id="rId10"/>
    <sheet sheetId="8" name="P&amp;L" state="visible" r:id="rId11"/>
    <sheet sheetId="9" name="AR Aging" state="visible" r:id="rId12"/>
    <sheet sheetId="10" name="Dashboard" state="visible" r:id="rId13"/>
  </sheets>
  <calcPr calcId="171027"/>
</workbook>
</file>

<file path=xl/sharedStrings.xml><?xml version="1.0" encoding="utf-8"?>
<sst xmlns="http://schemas.openxmlformats.org/spreadsheetml/2006/main" count="821" uniqueCount="313">
  <si>
    <t>SKU</t>
  </si>
  <si>
    <t>Description</t>
  </si>
  <si>
    <t>Type</t>
  </si>
  <si>
    <t>UoM</t>
  </si>
  <si>
    <t>Std Cost</t>
  </si>
  <si>
    <t>List Price</t>
  </si>
  <si>
    <t>Lead Time (d)</t>
  </si>
  <si>
    <t>Reorder Pt</t>
  </si>
  <si>
    <t>Default Supplier</t>
  </si>
  <si>
    <t>Last Updated</t>
  </si>
  <si>
    <t>FG-1001</t>
  </si>
  <si>
    <t>Industrial Pump Assembly Mk II</t>
  </si>
  <si>
    <t>Finished</t>
  </si>
  <si>
    <t>EA</t>
  </si>
  <si>
    <t>Internal Production</t>
  </si>
  <si>
    <t>2026-04-12</t>
  </si>
  <si>
    <t>FG-1002</t>
  </si>
  <si>
    <t>Industrial Pump Assembly Mk III</t>
  </si>
  <si>
    <t>FG-1101</t>
  </si>
  <si>
    <t>Hydraulic Cylinder 250mm</t>
  </si>
  <si>
    <t>2026-04-08</t>
  </si>
  <si>
    <t>FG-1102</t>
  </si>
  <si>
    <t>Hydraulic Cylinder 400mm</t>
  </si>
  <si>
    <t>FG-1203</t>
  </si>
  <si>
    <t>Gearbox Reduction Unit 30:1</t>
  </si>
  <si>
    <t>2026-03-29</t>
  </si>
  <si>
    <t>SA-2010</t>
  </si>
  <si>
    <t>Pump Housing Cast (Machined)</t>
  </si>
  <si>
    <t>WIP</t>
  </si>
  <si>
    <t>Acme Castings GmbH</t>
  </si>
  <si>
    <t>2026-04-02</t>
  </si>
  <si>
    <t>SA-2011</t>
  </si>
  <si>
    <t>Impeller, Stainless 316L</t>
  </si>
  <si>
    <t>NorthSteel Foundry</t>
  </si>
  <si>
    <t>SA-2012</t>
  </si>
  <si>
    <t>Cylinder Tube, Honed</t>
  </si>
  <si>
    <t>PrecisionBore Ltd</t>
  </si>
  <si>
    <t>2026-03-30</t>
  </si>
  <si>
    <t>SA-2013</t>
  </si>
  <si>
    <t>Piston Rod, Chrome-plated</t>
  </si>
  <si>
    <t>RM-3001</t>
  </si>
  <si>
    <t>Cast Iron GG25 — 50kg ingot</t>
  </si>
  <si>
    <t>Raw</t>
  </si>
  <si>
    <t>KG</t>
  </si>
  <si>
    <t>2026-04-15</t>
  </si>
  <si>
    <t>RM-3002</t>
  </si>
  <si>
    <t>Stainless 316L bar — 60mm</t>
  </si>
  <si>
    <t>M</t>
  </si>
  <si>
    <t>RM-3003</t>
  </si>
  <si>
    <t>Steel Plate S355 — 8mm</t>
  </si>
  <si>
    <t>M2</t>
  </si>
  <si>
    <t>EuroSteel SA</t>
  </si>
  <si>
    <t>2026-04-10</t>
  </si>
  <si>
    <t>RM-3010</t>
  </si>
  <si>
    <t>NBR O-ring 25mm ID</t>
  </si>
  <si>
    <t>SealPro AG</t>
  </si>
  <si>
    <t>2026-04-18</t>
  </si>
  <si>
    <t>RM-3011</t>
  </si>
  <si>
    <t>NBR O-ring 50mm ID</t>
  </si>
  <si>
    <t>RM-3020</t>
  </si>
  <si>
    <t>M10x40 Hex Bolt, A2-70</t>
  </si>
  <si>
    <t>FastenAll Co</t>
  </si>
  <si>
    <t>2026-04-05</t>
  </si>
  <si>
    <t>RM-3021</t>
  </si>
  <si>
    <t>M12x50 Hex Bolt, A2-70</t>
  </si>
  <si>
    <t>RM-3030</t>
  </si>
  <si>
    <t>Ball Bearing 6205-2RS</t>
  </si>
  <si>
    <t>BearingsDirect EU</t>
  </si>
  <si>
    <t>2026-04-01</t>
  </si>
  <si>
    <t>RM-3031</t>
  </si>
  <si>
    <t>Ball Bearing 6305-2RS</t>
  </si>
  <si>
    <t>RM-3040</t>
  </si>
  <si>
    <t>Hydraulic Oil ISO VG46 — 20L</t>
  </si>
  <si>
    <t>L</t>
  </si>
  <si>
    <t>LubricaChem</t>
  </si>
  <si>
    <t>2026-04-22</t>
  </si>
  <si>
    <t>RM-3050</t>
  </si>
  <si>
    <t>Powder Coat, Industrial Blue</t>
  </si>
  <si>
    <t>CoatTech sro</t>
  </si>
  <si>
    <t>2026-04-09</t>
  </si>
  <si>
    <t>Parent SKU</t>
  </si>
  <si>
    <t>Parent Description</t>
  </si>
  <si>
    <t>Component SKU</t>
  </si>
  <si>
    <t>Component Description</t>
  </si>
  <si>
    <t>Qty per Parent</t>
  </si>
  <si>
    <t>Scrap %</t>
  </si>
  <si>
    <t>Effective Qty</t>
  </si>
  <si>
    <t>Unit Cost</t>
  </si>
  <si>
    <t>Extended Cost</t>
  </si>
  <si>
    <t>Warehouse</t>
  </si>
  <si>
    <t>On Hand</t>
  </si>
  <si>
    <t>Allocated</t>
  </si>
  <si>
    <t>Available</t>
  </si>
  <si>
    <t>Status</t>
  </si>
  <si>
    <t>Inventory Value</t>
  </si>
  <si>
    <t>Last Count</t>
  </si>
  <si>
    <t>WH-MAIN</t>
  </si>
  <si>
    <t>WH-SOUTH</t>
  </si>
  <si>
    <t>WH-EU2</t>
  </si>
  <si>
    <t>TOTAL</t>
  </si>
  <si>
    <t/>
  </si>
  <si>
    <t>SO #</t>
  </si>
  <si>
    <t>Order Date</t>
  </si>
  <si>
    <t>Customer</t>
  </si>
  <si>
    <t>Country</t>
  </si>
  <si>
    <t>Qty</t>
  </si>
  <si>
    <t>Unit Price</t>
  </si>
  <si>
    <t>Discount %</t>
  </si>
  <si>
    <t>Net Total</t>
  </si>
  <si>
    <t>VAT %</t>
  </si>
  <si>
    <t>VAT Amount</t>
  </si>
  <si>
    <t>Gross Total</t>
  </si>
  <si>
    <t>Due Date</t>
  </si>
  <si>
    <t>SO-2026-0421</t>
  </si>
  <si>
    <t>Brno Industrial Pumps as</t>
  </si>
  <si>
    <t>CZ</t>
  </si>
  <si>
    <t>Invoiced</t>
  </si>
  <si>
    <t>SO-2026-0422</t>
  </si>
  <si>
    <t>SO-2026-0423</t>
  </si>
  <si>
    <t>Bavaria Hydraulik GmbH</t>
  </si>
  <si>
    <t>DE</t>
  </si>
  <si>
    <t>SO-2026-0424</t>
  </si>
  <si>
    <t>SO-2026-0425</t>
  </si>
  <si>
    <t>Polskie Maszyny Sp.z.o.o.</t>
  </si>
  <si>
    <t>PL</t>
  </si>
  <si>
    <t>Shipped</t>
  </si>
  <si>
    <t>SO-2026-0426</t>
  </si>
  <si>
    <t>SO-2026-0427</t>
  </si>
  <si>
    <t>Iberian Marine SL</t>
  </si>
  <si>
    <t>ES</t>
  </si>
  <si>
    <t>SO-2026-0428</t>
  </si>
  <si>
    <t>Confirmed</t>
  </si>
  <si>
    <t>SO-2026-0429</t>
  </si>
  <si>
    <t>Nordic OEM AB</t>
  </si>
  <si>
    <t>SE</t>
  </si>
  <si>
    <t>SO-2026-0430</t>
  </si>
  <si>
    <t>SO-2026-0431</t>
  </si>
  <si>
    <t>Adriatic Pumps doo</t>
  </si>
  <si>
    <t>HR</t>
  </si>
  <si>
    <t>Quotation</t>
  </si>
  <si>
    <t>SO-2026-0432</t>
  </si>
  <si>
    <t>SO-2026-0433</t>
  </si>
  <si>
    <t>Helvetica Mechanik AG</t>
  </si>
  <si>
    <t>CH</t>
  </si>
  <si>
    <t>SO-2026-0434</t>
  </si>
  <si>
    <t>PO #</t>
  </si>
  <si>
    <t>Supplier</t>
  </si>
  <si>
    <t>Expected Receipt</t>
  </si>
  <si>
    <t>PO-2026-3110</t>
  </si>
  <si>
    <t>Received</t>
  </si>
  <si>
    <t>PO-2026-3111</t>
  </si>
  <si>
    <t>PO-2026-3112</t>
  </si>
  <si>
    <t>PO-2026-3113</t>
  </si>
  <si>
    <t>PO-2026-3114</t>
  </si>
  <si>
    <t>PO-2026-3115</t>
  </si>
  <si>
    <t>PO-2026-3116</t>
  </si>
  <si>
    <t>PO-2026-3117</t>
  </si>
  <si>
    <t>In Transit</t>
  </si>
  <si>
    <t>PO-2026-3118</t>
  </si>
  <si>
    <t>PO-2026-3119</t>
  </si>
  <si>
    <t>PO-2026-3120</t>
  </si>
  <si>
    <t>PO-2026-3121</t>
  </si>
  <si>
    <t>PO-2026-3122</t>
  </si>
  <si>
    <t>Draft</t>
  </si>
  <si>
    <t>WO #</t>
  </si>
  <si>
    <t>Qty Planned</t>
  </si>
  <si>
    <t>Qty Produced</t>
  </si>
  <si>
    <t>% Complete</t>
  </si>
  <si>
    <t>Work Center</t>
  </si>
  <si>
    <t>Start Date</t>
  </si>
  <si>
    <t>WIP Value</t>
  </si>
  <si>
    <t>WO-2026-0801</t>
  </si>
  <si>
    <t>WC-ASSY-1</t>
  </si>
  <si>
    <t>Done</t>
  </si>
  <si>
    <t>WO-2026-0802</t>
  </si>
  <si>
    <t>WC-MACH-2</t>
  </si>
  <si>
    <t>WO-2026-0803</t>
  </si>
  <si>
    <t>In Progress</t>
  </si>
  <si>
    <t>WO-2026-0804</t>
  </si>
  <si>
    <t>WO-2026-0805</t>
  </si>
  <si>
    <t>WC-ASSY-2</t>
  </si>
  <si>
    <t>Scheduled</t>
  </si>
  <si>
    <t>WO-2026-0806</t>
  </si>
  <si>
    <t>WO-2026-0807</t>
  </si>
  <si>
    <t>WO-2026-0808</t>
  </si>
  <si>
    <t>WC-CAST</t>
  </si>
  <si>
    <t>WO-2026-0809</t>
  </si>
  <si>
    <t>Account #</t>
  </si>
  <si>
    <t>Account Name</t>
  </si>
  <si>
    <t>Opening Balance</t>
  </si>
  <si>
    <t>Period Debit</t>
  </si>
  <si>
    <t>Period Credit</t>
  </si>
  <si>
    <t>Closing Balance</t>
  </si>
  <si>
    <t>1010</t>
  </si>
  <si>
    <t>Cash on Hand</t>
  </si>
  <si>
    <t>Asset</t>
  </si>
  <si>
    <t>1020</t>
  </si>
  <si>
    <t>Bank — Operating</t>
  </si>
  <si>
    <t>1110</t>
  </si>
  <si>
    <t>Accounts Receivable</t>
  </si>
  <si>
    <t>1210</t>
  </si>
  <si>
    <t>Inventory — Raw Materials</t>
  </si>
  <si>
    <t>1211</t>
  </si>
  <si>
    <t>Inventory — WIP</t>
  </si>
  <si>
    <t>1212</t>
  </si>
  <si>
    <t>Inventory — Finished Goods</t>
  </si>
  <si>
    <t>1510</t>
  </si>
  <si>
    <t>Property, Plant &amp; Equipment</t>
  </si>
  <si>
    <t>1610</t>
  </si>
  <si>
    <t>Accumulated Depreciation</t>
  </si>
  <si>
    <t>2010</t>
  </si>
  <si>
    <t>Accounts Payable</t>
  </si>
  <si>
    <t>Liability</t>
  </si>
  <si>
    <t>2110</t>
  </si>
  <si>
    <t>VAT Payable</t>
  </si>
  <si>
    <t>2210</t>
  </si>
  <si>
    <t>Payroll Payable</t>
  </si>
  <si>
    <t>2510</t>
  </si>
  <si>
    <t>Long-term Debt</t>
  </si>
  <si>
    <t>3010</t>
  </si>
  <si>
    <t>Share Capital</t>
  </si>
  <si>
    <t>Equity</t>
  </si>
  <si>
    <t>3110</t>
  </si>
  <si>
    <t>Retained Earnings</t>
  </si>
  <si>
    <t>4010</t>
  </si>
  <si>
    <t>Revenue — Pumps</t>
  </si>
  <si>
    <t>Revenue</t>
  </si>
  <si>
    <t>4020</t>
  </si>
  <si>
    <t>Revenue — Hydraulics</t>
  </si>
  <si>
    <t>4030</t>
  </si>
  <si>
    <t>Revenue — Gearboxes</t>
  </si>
  <si>
    <t>4910</t>
  </si>
  <si>
    <t>Sales Discounts</t>
  </si>
  <si>
    <t>5010</t>
  </si>
  <si>
    <t>COGS — Materials</t>
  </si>
  <si>
    <t>Expense</t>
  </si>
  <si>
    <t>5020</t>
  </si>
  <si>
    <t>COGS — Labor</t>
  </si>
  <si>
    <t>5030</t>
  </si>
  <si>
    <t>COGS — Overhead</t>
  </si>
  <si>
    <t>6010</t>
  </si>
  <si>
    <t>Salaries &amp; Wages</t>
  </si>
  <si>
    <t>6020</t>
  </si>
  <si>
    <t>Rent &amp; Utilities</t>
  </si>
  <si>
    <t>6030</t>
  </si>
  <si>
    <t>Depreciation</t>
  </si>
  <si>
    <t>6040</t>
  </si>
  <si>
    <t>Marketing &amp; Sales</t>
  </si>
  <si>
    <t>6050</t>
  </si>
  <si>
    <t>Travel &amp; Entertainment</t>
  </si>
  <si>
    <t>6060</t>
  </si>
  <si>
    <t>IT &amp; Software</t>
  </si>
  <si>
    <t>6090</t>
  </si>
  <si>
    <t>Other Operating Expense</t>
  </si>
  <si>
    <t>7010</t>
  </si>
  <si>
    <t>Interest Expense</t>
  </si>
  <si>
    <t>7020</t>
  </si>
  <si>
    <t>Tax Expense</t>
  </si>
  <si>
    <t>Income Statement — Period 4 / 2026</t>
  </si>
  <si>
    <t>Amount (EUR)</t>
  </si>
  <si>
    <t>% of Revenue</t>
  </si>
  <si>
    <t xml:space="preserve">  Pumps</t>
  </si>
  <si>
    <t xml:space="preserve">  Hydraulics</t>
  </si>
  <si>
    <t xml:space="preserve">  Gearboxes</t>
  </si>
  <si>
    <t xml:space="preserve">  Less: Discounts</t>
  </si>
  <si>
    <t>Net Revenue</t>
  </si>
  <si>
    <t>Cost of Goods Sold</t>
  </si>
  <si>
    <t xml:space="preserve">  Materials</t>
  </si>
  <si>
    <t xml:space="preserve">  Direct Labor</t>
  </si>
  <si>
    <t xml:space="preserve">  Overhead</t>
  </si>
  <si>
    <t>Total COGS</t>
  </si>
  <si>
    <t>Gross Profit</t>
  </si>
  <si>
    <t>Gross Margin %</t>
  </si>
  <si>
    <t>Operating Expenses</t>
  </si>
  <si>
    <t xml:space="preserve">  Salaries &amp; Wages</t>
  </si>
  <si>
    <t xml:space="preserve">  Rent &amp; Utilities</t>
  </si>
  <si>
    <t xml:space="preserve">  Depreciation</t>
  </si>
  <si>
    <t xml:space="preserve">  Marketing &amp; Sales</t>
  </si>
  <si>
    <t xml:space="preserve">  Travel &amp; Entertainment</t>
  </si>
  <si>
    <t xml:space="preserve">  IT &amp; Software</t>
  </si>
  <si>
    <t xml:space="preserve">  Other</t>
  </si>
  <si>
    <t>Total OpEx</t>
  </si>
  <si>
    <t>Operating Income (EBIT)</t>
  </si>
  <si>
    <t>Operating Margin %</t>
  </si>
  <si>
    <t>Pre-tax Income</t>
  </si>
  <si>
    <t>Net Income</t>
  </si>
  <si>
    <t>Net Margin %</t>
  </si>
  <si>
    <t>Invoice #</t>
  </si>
  <si>
    <t>Invoice Date</t>
  </si>
  <si>
    <t>Total</t>
  </si>
  <si>
    <t>Days Overdue</t>
  </si>
  <si>
    <t>0–30</t>
  </si>
  <si>
    <t>31–60</t>
  </si>
  <si>
    <t>61–90</t>
  </si>
  <si>
    <t>90+</t>
  </si>
  <si>
    <t>INV-26-1042</t>
  </si>
  <si>
    <t>INV-26-1051</t>
  </si>
  <si>
    <t>INV-26-1063</t>
  </si>
  <si>
    <t>INV-26-1071</t>
  </si>
  <si>
    <t>INV-26-1080</t>
  </si>
  <si>
    <t>INV-26-1086</t>
  </si>
  <si>
    <t>INV-26-1092</t>
  </si>
  <si>
    <t>INV-26-0998</t>
  </si>
  <si>
    <t>INV-26-1015</t>
  </si>
  <si>
    <t>INV-26-1099</t>
  </si>
  <si>
    <t>Helios Manufacturing s.r.o. — Operations Snapshot</t>
  </si>
  <si>
    <t>Period: April 2026   ·   Reporting currency: EUR   ·   Source workbook for Odoo Spreadsheet import test</t>
  </si>
  <si>
    <t>Net Revenue (period)</t>
  </si>
  <si>
    <t>Open Sales Orders (count)</t>
  </si>
  <si>
    <t>AR Outstanding</t>
  </si>
  <si>
    <t>AR Past Due (&gt;30d)</t>
  </si>
  <si>
    <t>Production Work Orders Open</t>
  </si>
  <si>
    <t>Items Below Reorder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</si>
</sst>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0.000"/>
    <numFmt numFmtId="166" formatCode="#,##0.0000"/>
    <numFmt numFmtId="167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F4E78"/>
      <sz val="16"/>
    </font>
    <font>
      <i/>
      <color rgb="FF595959"/>
    </font>
    <font>
      <b/>
      <color rgb="FF1F4E78"/>
    </font>
    <font>
      <b/>
      <sz val="13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5" fontId="1" fillId="2" borderId="1" xfId="0" applyNumberFormat="1" applyFont="1" applyFill="1" applyBorder="1" applyAlignment="1">
      <alignment horizontal="left" vertical="center"/>
    </xf>
    <xf numFmtId="10" fontId="1" fillId="2" borderId="1" xfId="0" applyNumberFormat="1" applyFont="1" applyFill="1" applyBorder="1" applyAlignment="1">
      <alignment horizontal="left" vertical="center"/>
    </xf>
    <xf numFmtId="166" fontId="1" fillId="2" borderId="1" xfId="0" applyNumberFormat="1" applyFont="1" applyFill="1" applyBorder="1" applyAlignment="1">
      <alignment horizontal="left" vertical="center"/>
    </xf>
    <xf numFmtId="165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3" fontId="0" fillId="0" borderId="0" xfId="0" applyNumberFormat="1"/>
    <xf numFmtId="3" fontId="1" fillId="2" borderId="1" xfId="0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vertic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167" fontId="0" fillId="0" borderId="0" xfId="0" applyNumberFormat="1"/>
    <xf numFmtId="167" fontId="1" fillId="2" borderId="1" xfId="0" applyNumberFormat="1" applyFont="1" applyFill="1" applyBorder="1" applyAlignment="1">
      <alignment horizontal="left" vertical="center"/>
    </xf>
    <xf numFmtId="167" fontId="0" fillId="0" borderId="1" xfId="0" applyNumberFormat="1" applyBorder="1" applyAlignment="1">
      <alignment vertical="center"/>
    </xf>
    <xf numFmtId="0" fontId="2" fillId="4" borderId="0" xfId="0" applyFont="1" applyFill="1"/>
    <xf numFmtId="0" fontId="2" fillId="3" borderId="0" xfId="0" applyFont="1" applyFill="1"/>
    <xf numFmtId="4" fontId="2" fillId="3" borderId="0" xfId="0" applyNumberFormat="1" applyFont="1" applyFill="1"/>
    <xf numFmtId="0" fontId="3" fillId="0" borderId="0" xfId="0" applyFont="1"/>
    <xf numFmtId="0" fontId="4" fillId="0" borderId="0" xfId="0" applyFont="1"/>
    <xf numFmtId="0" fontId="5" fillId="5" borderId="1" xfId="0" applyFont="1" applyFill="1" applyBorder="1" applyAlignment="1">
      <alignment vertical="center"/>
    </xf>
    <xf numFmtId="4" fontId="6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4" fontId="6" fillId="6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12" customWidth="1"/>
    <col min="4" max="4" width="8" customWidth="1"/>
    <col min="5" max="6" width="12" style="1" customWidth="1"/>
    <col min="7" max="7" width="14" customWidth="1"/>
    <col min="8" max="8" width="12" customWidth="1"/>
    <col min="9" max="9" width="22" customWidth="1"/>
    <col min="10" max="10" width="14" style="2" customWidth="1"/>
  </cols>
  <sheetData>
    <row r="1" ht="22" customHeight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spans="1:10" x14ac:dyDescent="0.25">
      <c r="A2" s="6" t="s">
        <v>10</v>
      </c>
      <c r="B2" s="6" t="s">
        <v>11</v>
      </c>
      <c r="C2" s="6" t="s">
        <v>12</v>
      </c>
      <c r="D2" s="6" t="s">
        <v>13</v>
      </c>
      <c r="E2" s="7">
        <v>412.5</v>
      </c>
      <c r="F2" s="7">
        <v>925</v>
      </c>
      <c r="G2" s="6">
        <v>21</v>
      </c>
      <c r="H2" s="6">
        <v>25</v>
      </c>
      <c r="I2" s="6" t="s">
        <v>14</v>
      </c>
      <c r="J2" s="8" t="s">
        <v>15</v>
      </c>
    </row>
    <row r="3" spans="1:10" x14ac:dyDescent="0.25">
      <c r="A3" s="6" t="s">
        <v>16</v>
      </c>
      <c r="B3" s="6" t="s">
        <v>17</v>
      </c>
      <c r="C3" s="6" t="s">
        <v>12</v>
      </c>
      <c r="D3" s="6" t="s">
        <v>13</v>
      </c>
      <c r="E3" s="7">
        <v>478.2</v>
      </c>
      <c r="F3" s="7">
        <v>1095</v>
      </c>
      <c r="G3" s="6">
        <v>28</v>
      </c>
      <c r="H3" s="6">
        <v>18</v>
      </c>
      <c r="I3" s="6" t="s">
        <v>14</v>
      </c>
      <c r="J3" s="8" t="s">
        <v>15</v>
      </c>
    </row>
    <row r="4" spans="1:10" x14ac:dyDescent="0.25">
      <c r="A4" s="6" t="s">
        <v>18</v>
      </c>
      <c r="B4" s="6" t="s">
        <v>19</v>
      </c>
      <c r="C4" s="6" t="s">
        <v>12</v>
      </c>
      <c r="D4" s="6" t="s">
        <v>13</v>
      </c>
      <c r="E4" s="7">
        <v>188.75</v>
      </c>
      <c r="F4" s="7">
        <v>415</v>
      </c>
      <c r="G4" s="6">
        <v>14</v>
      </c>
      <c r="H4" s="6">
        <v>40</v>
      </c>
      <c r="I4" s="6" t="s">
        <v>14</v>
      </c>
      <c r="J4" s="8" t="s">
        <v>20</v>
      </c>
    </row>
    <row r="5" spans="1:10" x14ac:dyDescent="0.25">
      <c r="A5" s="6" t="s">
        <v>21</v>
      </c>
      <c r="B5" s="6" t="s">
        <v>22</v>
      </c>
      <c r="C5" s="6" t="s">
        <v>12</v>
      </c>
      <c r="D5" s="6" t="s">
        <v>13</v>
      </c>
      <c r="E5" s="7">
        <v>252.1</v>
      </c>
      <c r="F5" s="7">
        <v>565</v>
      </c>
      <c r="G5" s="6">
        <v>17</v>
      </c>
      <c r="H5" s="6">
        <v>30</v>
      </c>
      <c r="I5" s="6" t="s">
        <v>14</v>
      </c>
      <c r="J5" s="8" t="s">
        <v>20</v>
      </c>
    </row>
    <row r="6" spans="1:10" x14ac:dyDescent="0.25">
      <c r="A6" s="6" t="s">
        <v>23</v>
      </c>
      <c r="B6" s="6" t="s">
        <v>24</v>
      </c>
      <c r="C6" s="6" t="s">
        <v>12</v>
      </c>
      <c r="D6" s="6" t="s">
        <v>13</v>
      </c>
      <c r="E6" s="7">
        <v>318.4</v>
      </c>
      <c r="F6" s="7">
        <v>740</v>
      </c>
      <c r="G6" s="6">
        <v>24</v>
      </c>
      <c r="H6" s="6">
        <v>22</v>
      </c>
      <c r="I6" s="6" t="s">
        <v>14</v>
      </c>
      <c r="J6" s="8" t="s">
        <v>25</v>
      </c>
    </row>
    <row r="7" spans="1:10" x14ac:dyDescent="0.25">
      <c r="A7" s="6" t="s">
        <v>26</v>
      </c>
      <c r="B7" s="6" t="s">
        <v>27</v>
      </c>
      <c r="C7" s="6" t="s">
        <v>28</v>
      </c>
      <c r="D7" s="6" t="s">
        <v>13</v>
      </c>
      <c r="E7" s="7">
        <v>92.3</v>
      </c>
      <c r="F7" s="1"/>
      <c r="G7" s="6">
        <v>10</v>
      </c>
      <c r="H7" s="6">
        <v>60</v>
      </c>
      <c r="I7" s="6" t="s">
        <v>29</v>
      </c>
      <c r="J7" s="8" t="s">
        <v>30</v>
      </c>
    </row>
    <row r="8" spans="1:10" x14ac:dyDescent="0.25">
      <c r="A8" s="6" t="s">
        <v>31</v>
      </c>
      <c r="B8" s="6" t="s">
        <v>32</v>
      </c>
      <c r="C8" s="6" t="s">
        <v>28</v>
      </c>
      <c r="D8" s="6" t="s">
        <v>13</v>
      </c>
      <c r="E8" s="7">
        <v>64.8</v>
      </c>
      <c r="F8" s="1"/>
      <c r="G8" s="6">
        <v>8</v>
      </c>
      <c r="H8" s="6">
        <v>80</v>
      </c>
      <c r="I8" s="6" t="s">
        <v>33</v>
      </c>
      <c r="J8" s="8" t="s">
        <v>30</v>
      </c>
    </row>
    <row r="9" spans="1:10" x14ac:dyDescent="0.25">
      <c r="A9" s="6" t="s">
        <v>34</v>
      </c>
      <c r="B9" s="6" t="s">
        <v>35</v>
      </c>
      <c r="C9" s="6" t="s">
        <v>28</v>
      </c>
      <c r="D9" s="6" t="s">
        <v>13</v>
      </c>
      <c r="E9" s="7">
        <v>71.2</v>
      </c>
      <c r="F9" s="1"/>
      <c r="G9" s="6">
        <v>12</v>
      </c>
      <c r="H9" s="6">
        <v>50</v>
      </c>
      <c r="I9" s="6" t="s">
        <v>36</v>
      </c>
      <c r="J9" s="8" t="s">
        <v>37</v>
      </c>
    </row>
    <row r="10" spans="1:10" x14ac:dyDescent="0.25">
      <c r="A10" s="6" t="s">
        <v>38</v>
      </c>
      <c r="B10" s="6" t="s">
        <v>39</v>
      </c>
      <c r="C10" s="6" t="s">
        <v>28</v>
      </c>
      <c r="D10" s="6" t="s">
        <v>13</v>
      </c>
      <c r="E10" s="7">
        <v>38.55</v>
      </c>
      <c r="F10" s="1"/>
      <c r="G10" s="6">
        <v>9</v>
      </c>
      <c r="H10" s="6">
        <v>75</v>
      </c>
      <c r="I10" s="6" t="s">
        <v>36</v>
      </c>
      <c r="J10" s="8" t="s">
        <v>37</v>
      </c>
    </row>
    <row r="11" spans="1:10" x14ac:dyDescent="0.25">
      <c r="A11" s="6" t="s">
        <v>40</v>
      </c>
      <c r="B11" s="6" t="s">
        <v>41</v>
      </c>
      <c r="C11" s="6" t="s">
        <v>42</v>
      </c>
      <c r="D11" s="6" t="s">
        <v>43</v>
      </c>
      <c r="E11" s="7">
        <v>1.85</v>
      </c>
      <c r="F11" s="1"/>
      <c r="G11" s="6">
        <v>14</v>
      </c>
      <c r="H11" s="6">
        <v>1500</v>
      </c>
      <c r="I11" s="6" t="s">
        <v>29</v>
      </c>
      <c r="J11" s="8" t="s">
        <v>44</v>
      </c>
    </row>
    <row r="12" spans="1:10" x14ac:dyDescent="0.25">
      <c r="A12" s="6" t="s">
        <v>45</v>
      </c>
      <c r="B12" s="6" t="s">
        <v>46</v>
      </c>
      <c r="C12" s="6" t="s">
        <v>42</v>
      </c>
      <c r="D12" s="6" t="s">
        <v>47</v>
      </c>
      <c r="E12" s="7">
        <v>14.2</v>
      </c>
      <c r="F12" s="1"/>
      <c r="G12" s="6">
        <v>18</v>
      </c>
      <c r="H12" s="6">
        <v>200</v>
      </c>
      <c r="I12" s="6" t="s">
        <v>33</v>
      </c>
      <c r="J12" s="8" t="s">
        <v>44</v>
      </c>
    </row>
    <row r="13" spans="1:10" x14ac:dyDescent="0.25">
      <c r="A13" s="6" t="s">
        <v>48</v>
      </c>
      <c r="B13" s="6" t="s">
        <v>49</v>
      </c>
      <c r="C13" s="6" t="s">
        <v>42</v>
      </c>
      <c r="D13" s="6" t="s">
        <v>50</v>
      </c>
      <c r="E13" s="7">
        <v>28.6</v>
      </c>
      <c r="F13" s="1"/>
      <c r="G13" s="6">
        <v>10</v>
      </c>
      <c r="H13" s="6">
        <v>80</v>
      </c>
      <c r="I13" s="6" t="s">
        <v>51</v>
      </c>
      <c r="J13" s="8" t="s">
        <v>52</v>
      </c>
    </row>
    <row r="14" spans="1:10" x14ac:dyDescent="0.25">
      <c r="A14" s="6" t="s">
        <v>53</v>
      </c>
      <c r="B14" s="6" t="s">
        <v>54</v>
      </c>
      <c r="C14" s="6" t="s">
        <v>42</v>
      </c>
      <c r="D14" s="6" t="s">
        <v>13</v>
      </c>
      <c r="E14" s="7">
        <v>0.18</v>
      </c>
      <c r="F14" s="1"/>
      <c r="G14" s="6">
        <v>5</v>
      </c>
      <c r="H14" s="6">
        <v>5000</v>
      </c>
      <c r="I14" s="6" t="s">
        <v>55</v>
      </c>
      <c r="J14" s="8" t="s">
        <v>56</v>
      </c>
    </row>
    <row r="15" spans="1:10" x14ac:dyDescent="0.25">
      <c r="A15" s="6" t="s">
        <v>57</v>
      </c>
      <c r="B15" s="6" t="s">
        <v>58</v>
      </c>
      <c r="C15" s="6" t="s">
        <v>42</v>
      </c>
      <c r="D15" s="6" t="s">
        <v>13</v>
      </c>
      <c r="E15" s="7">
        <v>0.31</v>
      </c>
      <c r="F15" s="1"/>
      <c r="G15" s="6">
        <v>5</v>
      </c>
      <c r="H15" s="6">
        <v>4000</v>
      </c>
      <c r="I15" s="6" t="s">
        <v>55</v>
      </c>
      <c r="J15" s="8" t="s">
        <v>56</v>
      </c>
    </row>
    <row r="16" spans="1:10" x14ac:dyDescent="0.25">
      <c r="A16" s="6" t="s">
        <v>59</v>
      </c>
      <c r="B16" s="6" t="s">
        <v>60</v>
      </c>
      <c r="C16" s="6" t="s">
        <v>42</v>
      </c>
      <c r="D16" s="6" t="s">
        <v>13</v>
      </c>
      <c r="E16" s="7">
        <v>0.22</v>
      </c>
      <c r="F16" s="1"/>
      <c r="G16" s="6">
        <v>7</v>
      </c>
      <c r="H16" s="6">
        <v>10000</v>
      </c>
      <c r="I16" s="6" t="s">
        <v>61</v>
      </c>
      <c r="J16" s="8" t="s">
        <v>62</v>
      </c>
    </row>
    <row r="17" spans="1:10" x14ac:dyDescent="0.25">
      <c r="A17" s="6" t="s">
        <v>63</v>
      </c>
      <c r="B17" s="6" t="s">
        <v>64</v>
      </c>
      <c r="C17" s="6" t="s">
        <v>42</v>
      </c>
      <c r="D17" s="6" t="s">
        <v>13</v>
      </c>
      <c r="E17" s="7">
        <v>0.34</v>
      </c>
      <c r="F17" s="1"/>
      <c r="G17" s="6">
        <v>7</v>
      </c>
      <c r="H17" s="6">
        <v>8000</v>
      </c>
      <c r="I17" s="6" t="s">
        <v>61</v>
      </c>
      <c r="J17" s="8" t="s">
        <v>62</v>
      </c>
    </row>
    <row r="18" spans="1:10" x14ac:dyDescent="0.25">
      <c r="A18" s="6" t="s">
        <v>65</v>
      </c>
      <c r="B18" s="6" t="s">
        <v>66</v>
      </c>
      <c r="C18" s="6" t="s">
        <v>42</v>
      </c>
      <c r="D18" s="6" t="s">
        <v>13</v>
      </c>
      <c r="E18" s="7">
        <v>4.85</v>
      </c>
      <c r="F18" s="1"/>
      <c r="G18" s="6">
        <v>12</v>
      </c>
      <c r="H18" s="6">
        <v>600</v>
      </c>
      <c r="I18" s="6" t="s">
        <v>67</v>
      </c>
      <c r="J18" s="8" t="s">
        <v>68</v>
      </c>
    </row>
    <row r="19" spans="1:10" x14ac:dyDescent="0.25">
      <c r="A19" s="6" t="s">
        <v>69</v>
      </c>
      <c r="B19" s="6" t="s">
        <v>70</v>
      </c>
      <c r="C19" s="6" t="s">
        <v>42</v>
      </c>
      <c r="D19" s="6" t="s">
        <v>13</v>
      </c>
      <c r="E19" s="7">
        <v>7.4</v>
      </c>
      <c r="F19" s="1"/>
      <c r="G19" s="6">
        <v>12</v>
      </c>
      <c r="H19" s="6">
        <v>400</v>
      </c>
      <c r="I19" s="6" t="s">
        <v>67</v>
      </c>
      <c r="J19" s="8" t="s">
        <v>68</v>
      </c>
    </row>
    <row r="20" spans="1:10" x14ac:dyDescent="0.25">
      <c r="A20" s="6" t="s">
        <v>71</v>
      </c>
      <c r="B20" s="6" t="s">
        <v>72</v>
      </c>
      <c r="C20" s="6" t="s">
        <v>42</v>
      </c>
      <c r="D20" s="6" t="s">
        <v>73</v>
      </c>
      <c r="E20" s="7">
        <v>3.85</v>
      </c>
      <c r="F20" s="1"/>
      <c r="G20" s="6">
        <v>3</v>
      </c>
      <c r="H20" s="6">
        <v>800</v>
      </c>
      <c r="I20" s="6" t="s">
        <v>74</v>
      </c>
      <c r="J20" s="8" t="s">
        <v>75</v>
      </c>
    </row>
    <row r="21" spans="1:10" x14ac:dyDescent="0.25">
      <c r="A21" s="6" t="s">
        <v>76</v>
      </c>
      <c r="B21" s="6" t="s">
        <v>77</v>
      </c>
      <c r="C21" s="6" t="s">
        <v>42</v>
      </c>
      <c r="D21" s="6" t="s">
        <v>43</v>
      </c>
      <c r="E21" s="7">
        <v>12.4</v>
      </c>
      <c r="F21" s="1"/>
      <c r="G21" s="6">
        <v>14</v>
      </c>
      <c r="H21" s="6">
        <v>120</v>
      </c>
      <c r="I21" s="6" t="s">
        <v>78</v>
      </c>
      <c r="J21" s="8" t="s">
        <v>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4" customWidth="1"/>
    <col min="4" max="4" width="34" customWidth="1"/>
    <col min="5" max="5" width="14" style="9" customWidth="1"/>
    <col min="6" max="6" width="8" customWidth="1"/>
    <col min="7" max="7" width="10" style="10" customWidth="1"/>
    <col min="8" max="8" width="14" style="9" customWidth="1"/>
    <col min="9" max="9" width="12" style="11" customWidth="1"/>
    <col min="10" max="10" width="14" style="1" customWidth="1"/>
  </cols>
  <sheetData>
    <row r="1" ht="22" customHeight="1" spans="1:10" x14ac:dyDescent="0.25">
      <c r="A1" s="3" t="s">
        <v>80</v>
      </c>
      <c r="B1" s="3" t="s">
        <v>81</v>
      </c>
      <c r="C1" s="3" t="s">
        <v>82</v>
      </c>
      <c r="D1" s="3" t="s">
        <v>83</v>
      </c>
      <c r="E1" s="12" t="s">
        <v>84</v>
      </c>
      <c r="F1" s="3" t="s">
        <v>3</v>
      </c>
      <c r="G1" s="13" t="s">
        <v>85</v>
      </c>
      <c r="H1" s="12" t="s">
        <v>86</v>
      </c>
      <c r="I1" s="14" t="s">
        <v>87</v>
      </c>
      <c r="J1" s="4" t="s">
        <v>88</v>
      </c>
    </row>
    <row r="2" spans="1:10" x14ac:dyDescent="0.25">
      <c r="A2" s="6" t="s">
        <v>10</v>
      </c>
      <c r="B2" s="6" t="s">
        <v>11</v>
      </c>
      <c r="C2" s="6" t="s">
        <v>26</v>
      </c>
      <c r="D2" s="6" t="s">
        <v>27</v>
      </c>
      <c r="E2" s="15">
        <v>1</v>
      </c>
      <c r="F2" s="6" t="s">
        <v>13</v>
      </c>
      <c r="G2" s="16">
        <v>0.02</v>
      </c>
      <c r="H2" s="15">
        <f>E2*(1+G2)</f>
      </c>
      <c r="I2" s="17">
        <v>92.3</v>
      </c>
      <c r="J2" s="7">
        <f>H2*I2</f>
      </c>
    </row>
    <row r="3" spans="1:10" x14ac:dyDescent="0.25">
      <c r="A3" s="6" t="s">
        <v>10</v>
      </c>
      <c r="B3" s="6" t="s">
        <v>11</v>
      </c>
      <c r="C3" s="6" t="s">
        <v>31</v>
      </c>
      <c r="D3" s="6" t="s">
        <v>32</v>
      </c>
      <c r="E3" s="15">
        <v>1</v>
      </c>
      <c r="F3" s="6" t="s">
        <v>13</v>
      </c>
      <c r="G3" s="16">
        <v>0.03</v>
      </c>
      <c r="H3" s="15">
        <f>E3*(1+G3)</f>
      </c>
      <c r="I3" s="17">
        <v>64.8</v>
      </c>
      <c r="J3" s="7">
        <f>H3*I3</f>
      </c>
    </row>
    <row r="4" spans="1:10" x14ac:dyDescent="0.25">
      <c r="A4" s="6" t="s">
        <v>10</v>
      </c>
      <c r="B4" s="6" t="s">
        <v>11</v>
      </c>
      <c r="C4" s="6" t="s">
        <v>53</v>
      </c>
      <c r="D4" s="6" t="s">
        <v>54</v>
      </c>
      <c r="E4" s="15">
        <v>4</v>
      </c>
      <c r="F4" s="6" t="s">
        <v>13</v>
      </c>
      <c r="G4" s="16">
        <v>0.05</v>
      </c>
      <c r="H4" s="15">
        <f>E4*(1+G4)</f>
      </c>
      <c r="I4" s="17">
        <v>0.18</v>
      </c>
      <c r="J4" s="7">
        <f>H4*I4</f>
      </c>
    </row>
    <row r="5" spans="1:10" x14ac:dyDescent="0.25">
      <c r="A5" s="6" t="s">
        <v>10</v>
      </c>
      <c r="B5" s="6" t="s">
        <v>11</v>
      </c>
      <c r="C5" s="6" t="s">
        <v>59</v>
      </c>
      <c r="D5" s="6" t="s">
        <v>60</v>
      </c>
      <c r="E5" s="15">
        <v>8</v>
      </c>
      <c r="F5" s="6" t="s">
        <v>13</v>
      </c>
      <c r="G5" s="16">
        <v>0.01</v>
      </c>
      <c r="H5" s="15">
        <f>E5*(1+G5)</f>
      </c>
      <c r="I5" s="17">
        <v>0.22</v>
      </c>
      <c r="J5" s="7">
        <f>H5*I5</f>
      </c>
    </row>
    <row r="6" spans="1:10" x14ac:dyDescent="0.25">
      <c r="A6" s="6" t="s">
        <v>10</v>
      </c>
      <c r="B6" s="6" t="s">
        <v>11</v>
      </c>
      <c r="C6" s="6" t="s">
        <v>65</v>
      </c>
      <c r="D6" s="6" t="s">
        <v>66</v>
      </c>
      <c r="E6" s="15">
        <v>2</v>
      </c>
      <c r="F6" s="6" t="s">
        <v>13</v>
      </c>
      <c r="G6" s="16">
        <v>0.01</v>
      </c>
      <c r="H6" s="15">
        <f>E6*(1+G6)</f>
      </c>
      <c r="I6" s="17">
        <v>4.85</v>
      </c>
      <c r="J6" s="7">
        <f>H6*I6</f>
      </c>
    </row>
    <row r="7" spans="1:10" x14ac:dyDescent="0.25">
      <c r="A7" s="6" t="s">
        <v>10</v>
      </c>
      <c r="B7" s="6" t="s">
        <v>11</v>
      </c>
      <c r="C7" s="6" t="s">
        <v>71</v>
      </c>
      <c r="D7" s="6" t="s">
        <v>72</v>
      </c>
      <c r="E7" s="15">
        <v>0.8</v>
      </c>
      <c r="F7" s="6" t="s">
        <v>73</v>
      </c>
      <c r="G7" s="16">
        <v>0.04</v>
      </c>
      <c r="H7" s="15">
        <f>E7*(1+G7)</f>
      </c>
      <c r="I7" s="17">
        <v>3.85</v>
      </c>
      <c r="J7" s="7">
        <f>H7*I7</f>
      </c>
    </row>
    <row r="8" spans="1:10" x14ac:dyDescent="0.25">
      <c r="A8" s="6" t="s">
        <v>10</v>
      </c>
      <c r="B8" s="6" t="s">
        <v>11</v>
      </c>
      <c r="C8" s="6" t="s">
        <v>76</v>
      </c>
      <c r="D8" s="6" t="s">
        <v>77</v>
      </c>
      <c r="E8" s="15">
        <v>0.4</v>
      </c>
      <c r="F8" s="6" t="s">
        <v>43</v>
      </c>
      <c r="G8" s="16">
        <v>0.06</v>
      </c>
      <c r="H8" s="15">
        <f>E8*(1+G8)</f>
      </c>
      <c r="I8" s="17">
        <v>12.4</v>
      </c>
      <c r="J8" s="7">
        <f>H8*I8</f>
      </c>
    </row>
    <row r="9" spans="1:10" x14ac:dyDescent="0.25">
      <c r="A9" s="6" t="s">
        <v>16</v>
      </c>
      <c r="B9" s="6" t="s">
        <v>17</v>
      </c>
      <c r="C9" s="6" t="s">
        <v>26</v>
      </c>
      <c r="D9" s="6" t="s">
        <v>27</v>
      </c>
      <c r="E9" s="15">
        <v>1</v>
      </c>
      <c r="F9" s="6" t="s">
        <v>13</v>
      </c>
      <c r="G9" s="16">
        <v>0.02</v>
      </c>
      <c r="H9" s="15">
        <f>E9*(1+G9)</f>
      </c>
      <c r="I9" s="17">
        <v>92.3</v>
      </c>
      <c r="J9" s="7">
        <f>H9*I9</f>
      </c>
    </row>
    <row r="10" spans="1:10" x14ac:dyDescent="0.25">
      <c r="A10" s="6" t="s">
        <v>16</v>
      </c>
      <c r="B10" s="6" t="s">
        <v>17</v>
      </c>
      <c r="C10" s="6" t="s">
        <v>31</v>
      </c>
      <c r="D10" s="6" t="s">
        <v>32</v>
      </c>
      <c r="E10" s="15">
        <v>1</v>
      </c>
      <c r="F10" s="6" t="s">
        <v>13</v>
      </c>
      <c r="G10" s="16">
        <v>0.03</v>
      </c>
      <c r="H10" s="15">
        <f>E10*(1+G10)</f>
      </c>
      <c r="I10" s="17">
        <v>64.8</v>
      </c>
      <c r="J10" s="7">
        <f>H10*I10</f>
      </c>
    </row>
    <row r="11" spans="1:10" x14ac:dyDescent="0.25">
      <c r="A11" s="6" t="s">
        <v>16</v>
      </c>
      <c r="B11" s="6" t="s">
        <v>17</v>
      </c>
      <c r="C11" s="6" t="s">
        <v>57</v>
      </c>
      <c r="D11" s="6" t="s">
        <v>58</v>
      </c>
      <c r="E11" s="15">
        <v>4</v>
      </c>
      <c r="F11" s="6" t="s">
        <v>13</v>
      </c>
      <c r="G11" s="16">
        <v>0.05</v>
      </c>
      <c r="H11" s="15">
        <f>E11*(1+G11)</f>
      </c>
      <c r="I11" s="17">
        <v>0.31</v>
      </c>
      <c r="J11" s="7">
        <f>H11*I11</f>
      </c>
    </row>
    <row r="12" spans="1:10" x14ac:dyDescent="0.25">
      <c r="A12" s="6" t="s">
        <v>16</v>
      </c>
      <c r="B12" s="6" t="s">
        <v>17</v>
      </c>
      <c r="C12" s="6" t="s">
        <v>63</v>
      </c>
      <c r="D12" s="6" t="s">
        <v>64</v>
      </c>
      <c r="E12" s="15">
        <v>8</v>
      </c>
      <c r="F12" s="6" t="s">
        <v>13</v>
      </c>
      <c r="G12" s="16">
        <v>0.01</v>
      </c>
      <c r="H12" s="15">
        <f>E12*(1+G12)</f>
      </c>
      <c r="I12" s="17">
        <v>0.34</v>
      </c>
      <c r="J12" s="7">
        <f>H12*I12</f>
      </c>
    </row>
    <row r="13" spans="1:10" x14ac:dyDescent="0.25">
      <c r="A13" s="6" t="s">
        <v>16</v>
      </c>
      <c r="B13" s="6" t="s">
        <v>17</v>
      </c>
      <c r="C13" s="6" t="s">
        <v>69</v>
      </c>
      <c r="D13" s="6" t="s">
        <v>70</v>
      </c>
      <c r="E13" s="15">
        <v>2</v>
      </c>
      <c r="F13" s="6" t="s">
        <v>13</v>
      </c>
      <c r="G13" s="16">
        <v>0.01</v>
      </c>
      <c r="H13" s="15">
        <f>E13*(1+G13)</f>
      </c>
      <c r="I13" s="17">
        <v>7.4</v>
      </c>
      <c r="J13" s="7">
        <f>H13*I13</f>
      </c>
    </row>
    <row r="14" spans="1:10" x14ac:dyDescent="0.25">
      <c r="A14" s="6" t="s">
        <v>16</v>
      </c>
      <c r="B14" s="6" t="s">
        <v>17</v>
      </c>
      <c r="C14" s="6" t="s">
        <v>71</v>
      </c>
      <c r="D14" s="6" t="s">
        <v>72</v>
      </c>
      <c r="E14" s="15">
        <v>1.2</v>
      </c>
      <c r="F14" s="6" t="s">
        <v>73</v>
      </c>
      <c r="G14" s="16">
        <v>0.04</v>
      </c>
      <c r="H14" s="15">
        <f>E14*(1+G14)</f>
      </c>
      <c r="I14" s="17">
        <v>3.85</v>
      </c>
      <c r="J14" s="7">
        <f>H14*I14</f>
      </c>
    </row>
    <row r="15" spans="1:10" x14ac:dyDescent="0.25">
      <c r="A15" s="6" t="s">
        <v>16</v>
      </c>
      <c r="B15" s="6" t="s">
        <v>17</v>
      </c>
      <c r="C15" s="6" t="s">
        <v>76</v>
      </c>
      <c r="D15" s="6" t="s">
        <v>77</v>
      </c>
      <c r="E15" s="15">
        <v>0.5</v>
      </c>
      <c r="F15" s="6" t="s">
        <v>43</v>
      </c>
      <c r="G15" s="16">
        <v>0.06</v>
      </c>
      <c r="H15" s="15">
        <f>E15*(1+G15)</f>
      </c>
      <c r="I15" s="17">
        <v>12.4</v>
      </c>
      <c r="J15" s="7">
        <f>H15*I15</f>
      </c>
    </row>
    <row r="16" spans="1:10" x14ac:dyDescent="0.25">
      <c r="A16" s="6" t="s">
        <v>18</v>
      </c>
      <c r="B16" s="6" t="s">
        <v>19</v>
      </c>
      <c r="C16" s="6" t="s">
        <v>34</v>
      </c>
      <c r="D16" s="6" t="s">
        <v>35</v>
      </c>
      <c r="E16" s="15">
        <v>1</v>
      </c>
      <c r="F16" s="6" t="s">
        <v>13</v>
      </c>
      <c r="G16" s="16">
        <v>0.02</v>
      </c>
      <c r="H16" s="15">
        <f>E16*(1+G16)</f>
      </c>
      <c r="I16" s="17">
        <v>71.2</v>
      </c>
      <c r="J16" s="7">
        <f>H16*I16</f>
      </c>
    </row>
    <row r="17" spans="1:10" x14ac:dyDescent="0.25">
      <c r="A17" s="6" t="s">
        <v>18</v>
      </c>
      <c r="B17" s="6" t="s">
        <v>19</v>
      </c>
      <c r="C17" s="6" t="s">
        <v>38</v>
      </c>
      <c r="D17" s="6" t="s">
        <v>39</v>
      </c>
      <c r="E17" s="15">
        <v>1</v>
      </c>
      <c r="F17" s="6" t="s">
        <v>13</v>
      </c>
      <c r="G17" s="16">
        <v>0.02</v>
      </c>
      <c r="H17" s="15">
        <f>E17*(1+G17)</f>
      </c>
      <c r="I17" s="17">
        <v>38.55</v>
      </c>
      <c r="J17" s="7">
        <f>H17*I17</f>
      </c>
    </row>
    <row r="18" spans="1:10" x14ac:dyDescent="0.25">
      <c r="A18" s="6" t="s">
        <v>18</v>
      </c>
      <c r="B18" s="6" t="s">
        <v>19</v>
      </c>
      <c r="C18" s="6" t="s">
        <v>53</v>
      </c>
      <c r="D18" s="6" t="s">
        <v>54</v>
      </c>
      <c r="E18" s="15">
        <v>6</v>
      </c>
      <c r="F18" s="6" t="s">
        <v>13</v>
      </c>
      <c r="G18" s="16">
        <v>0.05</v>
      </c>
      <c r="H18" s="15">
        <f>E18*(1+G18)</f>
      </c>
      <c r="I18" s="17">
        <v>0.18</v>
      </c>
      <c r="J18" s="7">
        <f>H18*I18</f>
      </c>
    </row>
    <row r="19" spans="1:10" x14ac:dyDescent="0.25">
      <c r="A19" s="6" t="s">
        <v>18</v>
      </c>
      <c r="B19" s="6" t="s">
        <v>19</v>
      </c>
      <c r="C19" s="6" t="s">
        <v>59</v>
      </c>
      <c r="D19" s="6" t="s">
        <v>60</v>
      </c>
      <c r="E19" s="15">
        <v>6</v>
      </c>
      <c r="F19" s="6" t="s">
        <v>13</v>
      </c>
      <c r="G19" s="16">
        <v>0.01</v>
      </c>
      <c r="H19" s="15">
        <f>E19*(1+G19)</f>
      </c>
      <c r="I19" s="17">
        <v>0.22</v>
      </c>
      <c r="J19" s="7">
        <f>H19*I19</f>
      </c>
    </row>
    <row r="20" spans="1:10" x14ac:dyDescent="0.25">
      <c r="A20" s="6" t="s">
        <v>18</v>
      </c>
      <c r="B20" s="6" t="s">
        <v>19</v>
      </c>
      <c r="C20" s="6" t="s">
        <v>71</v>
      </c>
      <c r="D20" s="6" t="s">
        <v>72</v>
      </c>
      <c r="E20" s="15">
        <v>0.5</v>
      </c>
      <c r="F20" s="6" t="s">
        <v>73</v>
      </c>
      <c r="G20" s="16">
        <v>0.04</v>
      </c>
      <c r="H20" s="15">
        <f>E20*(1+G20)</f>
      </c>
      <c r="I20" s="17">
        <v>3.85</v>
      </c>
      <c r="J20" s="7">
        <f>H20*I20</f>
      </c>
    </row>
    <row r="21" spans="1:10" x14ac:dyDescent="0.25">
      <c r="A21" s="6" t="s">
        <v>21</v>
      </c>
      <c r="B21" s="6" t="s">
        <v>22</v>
      </c>
      <c r="C21" s="6" t="s">
        <v>34</v>
      </c>
      <c r="D21" s="6" t="s">
        <v>35</v>
      </c>
      <c r="E21" s="15">
        <v>1</v>
      </c>
      <c r="F21" s="6" t="s">
        <v>13</v>
      </c>
      <c r="G21" s="16">
        <v>0.02</v>
      </c>
      <c r="H21" s="15">
        <f>E21*(1+G21)</f>
      </c>
      <c r="I21" s="17">
        <v>71.2</v>
      </c>
      <c r="J21" s="7">
        <f>H21*I21</f>
      </c>
    </row>
    <row r="22" spans="1:10" x14ac:dyDescent="0.25">
      <c r="A22" s="6" t="s">
        <v>21</v>
      </c>
      <c r="B22" s="6" t="s">
        <v>22</v>
      </c>
      <c r="C22" s="6" t="s">
        <v>38</v>
      </c>
      <c r="D22" s="6" t="s">
        <v>39</v>
      </c>
      <c r="E22" s="15">
        <v>1</v>
      </c>
      <c r="F22" s="6" t="s">
        <v>13</v>
      </c>
      <c r="G22" s="16">
        <v>0.02</v>
      </c>
      <c r="H22" s="15">
        <f>E22*(1+G22)</f>
      </c>
      <c r="I22" s="17">
        <v>38.55</v>
      </c>
      <c r="J22" s="7">
        <f>H22*I22</f>
      </c>
    </row>
    <row r="23" spans="1:10" x14ac:dyDescent="0.25">
      <c r="A23" s="6" t="s">
        <v>21</v>
      </c>
      <c r="B23" s="6" t="s">
        <v>22</v>
      </c>
      <c r="C23" s="6" t="s">
        <v>57</v>
      </c>
      <c r="D23" s="6" t="s">
        <v>58</v>
      </c>
      <c r="E23" s="15">
        <v>6</v>
      </c>
      <c r="F23" s="6" t="s">
        <v>13</v>
      </c>
      <c r="G23" s="16">
        <v>0.05</v>
      </c>
      <c r="H23" s="15">
        <f>E23*(1+G23)</f>
      </c>
      <c r="I23" s="17">
        <v>0.31</v>
      </c>
      <c r="J23" s="7">
        <f>H23*I23</f>
      </c>
    </row>
    <row r="24" spans="1:10" x14ac:dyDescent="0.25">
      <c r="A24" s="6" t="s">
        <v>21</v>
      </c>
      <c r="B24" s="6" t="s">
        <v>22</v>
      </c>
      <c r="C24" s="6" t="s">
        <v>63</v>
      </c>
      <c r="D24" s="6" t="s">
        <v>64</v>
      </c>
      <c r="E24" s="15">
        <v>8</v>
      </c>
      <c r="F24" s="6" t="s">
        <v>13</v>
      </c>
      <c r="G24" s="16">
        <v>0.01</v>
      </c>
      <c r="H24" s="15">
        <f>E24*(1+G24)</f>
      </c>
      <c r="I24" s="17">
        <v>0.34</v>
      </c>
      <c r="J24" s="7">
        <f>H24*I24</f>
      </c>
    </row>
    <row r="25" spans="1:10" x14ac:dyDescent="0.25">
      <c r="A25" s="6" t="s">
        <v>21</v>
      </c>
      <c r="B25" s="6" t="s">
        <v>22</v>
      </c>
      <c r="C25" s="6" t="s">
        <v>71</v>
      </c>
      <c r="D25" s="6" t="s">
        <v>72</v>
      </c>
      <c r="E25" s="15">
        <v>0.8</v>
      </c>
      <c r="F25" s="6" t="s">
        <v>73</v>
      </c>
      <c r="G25" s="16">
        <v>0.04</v>
      </c>
      <c r="H25" s="15">
        <f>E25*(1+G25)</f>
      </c>
      <c r="I25" s="17">
        <v>3.85</v>
      </c>
      <c r="J25" s="7">
        <f>H25*I25</f>
      </c>
    </row>
    <row r="26" spans="1:10" x14ac:dyDescent="0.25">
      <c r="A26" s="6" t="s">
        <v>23</v>
      </c>
      <c r="B26" s="6" t="s">
        <v>24</v>
      </c>
      <c r="C26" s="6" t="s">
        <v>45</v>
      </c>
      <c r="D26" s="6" t="s">
        <v>46</v>
      </c>
      <c r="E26" s="15">
        <v>0.6</v>
      </c>
      <c r="F26" s="6" t="s">
        <v>47</v>
      </c>
      <c r="G26" s="16">
        <v>0.04</v>
      </c>
      <c r="H26" s="15">
        <f>E26*(1+G26)</f>
      </c>
      <c r="I26" s="17">
        <v>14.2</v>
      </c>
      <c r="J26" s="7">
        <f>H26*I26</f>
      </c>
    </row>
    <row r="27" spans="1:10" x14ac:dyDescent="0.25">
      <c r="A27" s="6" t="s">
        <v>23</v>
      </c>
      <c r="B27" s="6" t="s">
        <v>24</v>
      </c>
      <c r="C27" s="6" t="s">
        <v>48</v>
      </c>
      <c r="D27" s="6" t="s">
        <v>49</v>
      </c>
      <c r="E27" s="15">
        <v>0.3</v>
      </c>
      <c r="F27" s="6" t="s">
        <v>50</v>
      </c>
      <c r="G27" s="16">
        <v>0.05</v>
      </c>
      <c r="H27" s="15">
        <f>E27*(1+G27)</f>
      </c>
      <c r="I27" s="17">
        <v>28.6</v>
      </c>
      <c r="J27" s="7">
        <f>H27*I27</f>
      </c>
    </row>
    <row r="28" spans="1:10" x14ac:dyDescent="0.25">
      <c r="A28" s="6" t="s">
        <v>23</v>
      </c>
      <c r="B28" s="6" t="s">
        <v>24</v>
      </c>
      <c r="C28" s="6" t="s">
        <v>63</v>
      </c>
      <c r="D28" s="6" t="s">
        <v>64</v>
      </c>
      <c r="E28" s="15">
        <v>12</v>
      </c>
      <c r="F28" s="6" t="s">
        <v>13</v>
      </c>
      <c r="G28" s="16">
        <v>0.01</v>
      </c>
      <c r="H28" s="15">
        <f>E28*(1+G28)</f>
      </c>
      <c r="I28" s="17">
        <v>0.34</v>
      </c>
      <c r="J28" s="7">
        <f>H28*I28</f>
      </c>
    </row>
    <row r="29" spans="1:10" x14ac:dyDescent="0.25">
      <c r="A29" s="6" t="s">
        <v>23</v>
      </c>
      <c r="B29" s="6" t="s">
        <v>24</v>
      </c>
      <c r="C29" s="6" t="s">
        <v>69</v>
      </c>
      <c r="D29" s="6" t="s">
        <v>70</v>
      </c>
      <c r="E29" s="15">
        <v>4</v>
      </c>
      <c r="F29" s="6" t="s">
        <v>13</v>
      </c>
      <c r="G29" s="16">
        <v>0.01</v>
      </c>
      <c r="H29" s="15">
        <f>E29*(1+G29)</f>
      </c>
      <c r="I29" s="17">
        <v>7.4</v>
      </c>
      <c r="J29" s="7">
        <f>H29*I29</f>
      </c>
    </row>
    <row r="30" spans="1:10" x14ac:dyDescent="0.25">
      <c r="A30" s="6" t="s">
        <v>23</v>
      </c>
      <c r="B30" s="6" t="s">
        <v>24</v>
      </c>
      <c r="C30" s="6" t="s">
        <v>71</v>
      </c>
      <c r="D30" s="6" t="s">
        <v>72</v>
      </c>
      <c r="E30" s="15">
        <v>0.6</v>
      </c>
      <c r="F30" s="6" t="s">
        <v>73</v>
      </c>
      <c r="G30" s="16">
        <v>0.04</v>
      </c>
      <c r="H30" s="15">
        <f>E30*(1+G30)</f>
      </c>
      <c r="I30" s="17">
        <v>3.85</v>
      </c>
      <c r="J30" s="7">
        <f>H30*I30</f>
      </c>
    </row>
    <row r="31" spans="1:10" x14ac:dyDescent="0.25">
      <c r="A31" s="6" t="s">
        <v>26</v>
      </c>
      <c r="B31" s="6" t="s">
        <v>27</v>
      </c>
      <c r="C31" s="6" t="s">
        <v>40</v>
      </c>
      <c r="D31" s="6" t="s">
        <v>41</v>
      </c>
      <c r="E31" s="15">
        <v>12</v>
      </c>
      <c r="F31" s="6" t="s">
        <v>43</v>
      </c>
      <c r="G31" s="16">
        <v>0.08</v>
      </c>
      <c r="H31" s="15">
        <f>E31*(1+G31)</f>
      </c>
      <c r="I31" s="17">
        <v>1.85</v>
      </c>
      <c r="J31" s="7">
        <f>H31*I31</f>
      </c>
    </row>
    <row r="32" spans="1:10" x14ac:dyDescent="0.25">
      <c r="A32" s="6" t="s">
        <v>31</v>
      </c>
      <c r="B32" s="6" t="s">
        <v>32</v>
      </c>
      <c r="C32" s="6" t="s">
        <v>45</v>
      </c>
      <c r="D32" s="6" t="s">
        <v>46</v>
      </c>
      <c r="E32" s="15">
        <v>0.4</v>
      </c>
      <c r="F32" s="6" t="s">
        <v>47</v>
      </c>
      <c r="G32" s="16">
        <v>0.06</v>
      </c>
      <c r="H32" s="15">
        <f>E32*(1+G32)</f>
      </c>
      <c r="I32" s="17">
        <v>14.2</v>
      </c>
      <c r="J32" s="7">
        <f>H32*I32</f>
      </c>
    </row>
    <row r="33" spans="1:10" x14ac:dyDescent="0.25">
      <c r="A33" s="6" t="s">
        <v>34</v>
      </c>
      <c r="B33" s="6" t="s">
        <v>35</v>
      </c>
      <c r="C33" s="6" t="s">
        <v>48</v>
      </c>
      <c r="D33" s="6" t="s">
        <v>49</v>
      </c>
      <c r="E33" s="15">
        <v>0.2</v>
      </c>
      <c r="F33" s="6" t="s">
        <v>50</v>
      </c>
      <c r="G33" s="16">
        <v>0.05</v>
      </c>
      <c r="H33" s="15">
        <f>E33*(1+G33)</f>
      </c>
      <c r="I33" s="17">
        <v>28.6</v>
      </c>
      <c r="J33" s="7">
        <f>H33*I33</f>
      </c>
    </row>
    <row r="34" spans="1:10" x14ac:dyDescent="0.25">
      <c r="A34" s="6" t="s">
        <v>38</v>
      </c>
      <c r="B34" s="6" t="s">
        <v>39</v>
      </c>
      <c r="C34" s="6" t="s">
        <v>45</v>
      </c>
      <c r="D34" s="6" t="s">
        <v>46</v>
      </c>
      <c r="E34" s="15">
        <v>0.25</v>
      </c>
      <c r="F34" s="6" t="s">
        <v>47</v>
      </c>
      <c r="G34" s="16">
        <v>0.06</v>
      </c>
      <c r="H34" s="15">
        <f>E34*(1+G34)</f>
      </c>
      <c r="I34" s="17">
        <v>14.2</v>
      </c>
      <c r="J34" s="7">
        <f>H34*I34</f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7" width="10" style="18" customWidth="1"/>
    <col min="8" max="8" width="14" customWidth="1"/>
    <col min="9" max="9" width="12" style="1" customWidth="1"/>
    <col min="10" max="10" width="16" style="1" customWidth="1"/>
    <col min="11" max="11" width="14" style="2" customWidth="1"/>
  </cols>
  <sheetData>
    <row r="1" ht="22" customHeight="1" spans="1:11" x14ac:dyDescent="0.25">
      <c r="A1" s="3" t="s">
        <v>0</v>
      </c>
      <c r="B1" s="3" t="s">
        <v>1</v>
      </c>
      <c r="C1" s="3" t="s">
        <v>89</v>
      </c>
      <c r="D1" s="19" t="s">
        <v>90</v>
      </c>
      <c r="E1" s="19" t="s">
        <v>91</v>
      </c>
      <c r="F1" s="19" t="s">
        <v>92</v>
      </c>
      <c r="G1" s="19" t="s">
        <v>7</v>
      </c>
      <c r="H1" s="3" t="s">
        <v>93</v>
      </c>
      <c r="I1" s="4" t="s">
        <v>87</v>
      </c>
      <c r="J1" s="4" t="s">
        <v>94</v>
      </c>
      <c r="K1" s="5" t="s">
        <v>95</v>
      </c>
    </row>
    <row r="2" spans="1:11" x14ac:dyDescent="0.25">
      <c r="A2" s="6" t="s">
        <v>10</v>
      </c>
      <c r="B2" s="6" t="s">
        <v>11</v>
      </c>
      <c r="C2" s="6" t="s">
        <v>96</v>
      </c>
      <c r="D2" s="20">
        <v>42</v>
      </c>
      <c r="E2" s="20">
        <v>15</v>
      </c>
      <c r="F2" s="20">
        <f>D2-E2</f>
      </c>
      <c r="G2" s="20">
        <v>25</v>
      </c>
      <c r="H2" s="6">
        <f>IF(F2&lt;G2,"REORDER","OK")</f>
      </c>
      <c r="I2" s="7">
        <v>412.5</v>
      </c>
      <c r="J2" s="7">
        <f>D2*I2</f>
      </c>
      <c r="K2" s="8">
        <v>46128.91666666667</v>
      </c>
    </row>
    <row r="3" spans="1:11" x14ac:dyDescent="0.25">
      <c r="A3" s="6" t="s">
        <v>10</v>
      </c>
      <c r="B3" s="6" t="s">
        <v>11</v>
      </c>
      <c r="C3" s="6" t="s">
        <v>97</v>
      </c>
      <c r="D3" s="20">
        <v>18</v>
      </c>
      <c r="E3" s="20">
        <v>0</v>
      </c>
      <c r="F3" s="20">
        <f>D3-E3</f>
      </c>
      <c r="G3" s="20">
        <v>25</v>
      </c>
      <c r="H3" s="6">
        <f>IF(F3&lt;G3,"REORDER","OK")</f>
      </c>
      <c r="I3" s="7">
        <v>412.5</v>
      </c>
      <c r="J3" s="7">
        <f>D3*I3</f>
      </c>
      <c r="K3" s="8">
        <v>46129.91666666667</v>
      </c>
    </row>
    <row r="4" spans="1:11" x14ac:dyDescent="0.25">
      <c r="A4" s="6" t="s">
        <v>10</v>
      </c>
      <c r="B4" s="6" t="s">
        <v>11</v>
      </c>
      <c r="C4" s="6" t="s">
        <v>98</v>
      </c>
      <c r="D4" s="20">
        <v>6</v>
      </c>
      <c r="E4" s="20">
        <v>0</v>
      </c>
      <c r="F4" s="20">
        <f>D4-E4</f>
      </c>
      <c r="G4" s="20">
        <v>25</v>
      </c>
      <c r="H4" s="6">
        <f>IF(F4&lt;G4,"REORDER","OK")</f>
      </c>
      <c r="I4" s="7">
        <v>412.5</v>
      </c>
      <c r="J4" s="7">
        <f>D4*I4</f>
      </c>
      <c r="K4" s="8">
        <v>46130.91666666667</v>
      </c>
    </row>
    <row r="5" spans="1:11" x14ac:dyDescent="0.25">
      <c r="A5" s="6" t="s">
        <v>16</v>
      </c>
      <c r="B5" s="6" t="s">
        <v>17</v>
      </c>
      <c r="C5" s="6" t="s">
        <v>96</v>
      </c>
      <c r="D5" s="20">
        <v>12</v>
      </c>
      <c r="E5" s="20">
        <v>8</v>
      </c>
      <c r="F5" s="20">
        <f>D5-E5</f>
      </c>
      <c r="G5" s="20">
        <v>18</v>
      </c>
      <c r="H5" s="6">
        <f>IF(F5&lt;G5,"REORDER","OK")</f>
      </c>
      <c r="I5" s="7">
        <v>478.2</v>
      </c>
      <c r="J5" s="7">
        <f>D5*I5</f>
      </c>
      <c r="K5" s="8">
        <v>46131.91666666667</v>
      </c>
    </row>
    <row r="6" spans="1:11" x14ac:dyDescent="0.25">
      <c r="A6" s="6" t="s">
        <v>16</v>
      </c>
      <c r="B6" s="6" t="s">
        <v>17</v>
      </c>
      <c r="C6" s="6" t="s">
        <v>97</v>
      </c>
      <c r="D6" s="20">
        <v>4</v>
      </c>
      <c r="E6" s="20">
        <v>0</v>
      </c>
      <c r="F6" s="20">
        <f>D6-E6</f>
      </c>
      <c r="G6" s="20">
        <v>18</v>
      </c>
      <c r="H6" s="6">
        <f>IF(F6&lt;G6,"REORDER","OK")</f>
      </c>
      <c r="I6" s="7">
        <v>478.2</v>
      </c>
      <c r="J6" s="7">
        <f>D6*I6</f>
      </c>
      <c r="K6" s="8">
        <v>46132.91666666667</v>
      </c>
    </row>
    <row r="7" spans="1:11" x14ac:dyDescent="0.25">
      <c r="A7" s="6" t="s">
        <v>16</v>
      </c>
      <c r="B7" s="6" t="s">
        <v>17</v>
      </c>
      <c r="C7" s="6" t="s">
        <v>98</v>
      </c>
      <c r="D7" s="20">
        <v>2</v>
      </c>
      <c r="E7" s="20">
        <v>0</v>
      </c>
      <c r="F7" s="20">
        <f>D7-E7</f>
      </c>
      <c r="G7" s="20">
        <v>18</v>
      </c>
      <c r="H7" s="6">
        <f>IF(F7&lt;G7,"REORDER","OK")</f>
      </c>
      <c r="I7" s="7">
        <v>478.2</v>
      </c>
      <c r="J7" s="7">
        <f>D7*I7</f>
      </c>
      <c r="K7" s="8">
        <v>46133.91666666667</v>
      </c>
    </row>
    <row r="8" spans="1:11" x14ac:dyDescent="0.25">
      <c r="A8" s="6" t="s">
        <v>18</v>
      </c>
      <c r="B8" s="6" t="s">
        <v>19</v>
      </c>
      <c r="C8" s="6" t="s">
        <v>96</v>
      </c>
      <c r="D8" s="20">
        <v>62</v>
      </c>
      <c r="E8" s="20">
        <v>22</v>
      </c>
      <c r="F8" s="20">
        <f>D8-E8</f>
      </c>
      <c r="G8" s="20">
        <v>40</v>
      </c>
      <c r="H8" s="6">
        <f>IF(F8&lt;G8,"REORDER","OK")</f>
      </c>
      <c r="I8" s="7">
        <v>188.75</v>
      </c>
      <c r="J8" s="7">
        <f>D8*I8</f>
      </c>
      <c r="K8" s="8">
        <v>46134.91666666667</v>
      </c>
    </row>
    <row r="9" spans="1:11" x14ac:dyDescent="0.25">
      <c r="A9" s="6" t="s">
        <v>18</v>
      </c>
      <c r="B9" s="6" t="s">
        <v>19</v>
      </c>
      <c r="C9" s="6" t="s">
        <v>97</v>
      </c>
      <c r="D9" s="20">
        <v>30</v>
      </c>
      <c r="E9" s="20">
        <v>0</v>
      </c>
      <c r="F9" s="20">
        <f>D9-E9</f>
      </c>
      <c r="G9" s="20">
        <v>40</v>
      </c>
      <c r="H9" s="6">
        <f>IF(F9&lt;G9,"REORDER","OK")</f>
      </c>
      <c r="I9" s="7">
        <v>188.75</v>
      </c>
      <c r="J9" s="7">
        <f>D9*I9</f>
      </c>
      <c r="K9" s="8">
        <v>46135.91666666667</v>
      </c>
    </row>
    <row r="10" spans="1:11" x14ac:dyDescent="0.25">
      <c r="A10" s="6" t="s">
        <v>18</v>
      </c>
      <c r="B10" s="6" t="s">
        <v>19</v>
      </c>
      <c r="C10" s="6" t="s">
        <v>98</v>
      </c>
      <c r="D10" s="20">
        <v>14</v>
      </c>
      <c r="E10" s="20">
        <v>0</v>
      </c>
      <c r="F10" s="20">
        <f>D10-E10</f>
      </c>
      <c r="G10" s="20">
        <v>40</v>
      </c>
      <c r="H10" s="6">
        <f>IF(F10&lt;G10,"REORDER","OK")</f>
      </c>
      <c r="I10" s="7">
        <v>188.75</v>
      </c>
      <c r="J10" s="7">
        <f>D10*I10</f>
      </c>
      <c r="K10" s="8">
        <v>46126.91666666667</v>
      </c>
    </row>
    <row r="11" spans="1:11" x14ac:dyDescent="0.25">
      <c r="A11" s="6" t="s">
        <v>21</v>
      </c>
      <c r="B11" s="6" t="s">
        <v>22</v>
      </c>
      <c r="C11" s="6" t="s">
        <v>96</v>
      </c>
      <c r="D11" s="20">
        <v>38</v>
      </c>
      <c r="E11" s="20">
        <v>18</v>
      </c>
      <c r="F11" s="20">
        <f>D11-E11</f>
      </c>
      <c r="G11" s="20">
        <v>30</v>
      </c>
      <c r="H11" s="6">
        <f>IF(F11&lt;G11,"REORDER","OK")</f>
      </c>
      <c r="I11" s="7">
        <v>252.1</v>
      </c>
      <c r="J11" s="7">
        <f>D11*I11</f>
      </c>
      <c r="K11" s="8">
        <v>46127.91666666667</v>
      </c>
    </row>
    <row r="12" spans="1:11" x14ac:dyDescent="0.25">
      <c r="A12" s="6" t="s">
        <v>21</v>
      </c>
      <c r="B12" s="6" t="s">
        <v>22</v>
      </c>
      <c r="C12" s="6" t="s">
        <v>97</v>
      </c>
      <c r="D12" s="20">
        <v>12</v>
      </c>
      <c r="E12" s="20">
        <v>0</v>
      </c>
      <c r="F12" s="20">
        <f>D12-E12</f>
      </c>
      <c r="G12" s="20">
        <v>30</v>
      </c>
      <c r="H12" s="6">
        <f>IF(F12&lt;G12,"REORDER","OK")</f>
      </c>
      <c r="I12" s="7">
        <v>252.1</v>
      </c>
      <c r="J12" s="7">
        <f>D12*I12</f>
      </c>
      <c r="K12" s="8">
        <v>46128.91666666667</v>
      </c>
    </row>
    <row r="13" spans="1:11" x14ac:dyDescent="0.25">
      <c r="A13" s="6" t="s">
        <v>21</v>
      </c>
      <c r="B13" s="6" t="s">
        <v>22</v>
      </c>
      <c r="C13" s="6" t="s">
        <v>98</v>
      </c>
      <c r="D13" s="20">
        <v>8</v>
      </c>
      <c r="E13" s="20">
        <v>0</v>
      </c>
      <c r="F13" s="20">
        <f>D13-E13</f>
      </c>
      <c r="G13" s="20">
        <v>30</v>
      </c>
      <c r="H13" s="6">
        <f>IF(F13&lt;G13,"REORDER","OK")</f>
      </c>
      <c r="I13" s="7">
        <v>252.1</v>
      </c>
      <c r="J13" s="7">
        <f>D13*I13</f>
      </c>
      <c r="K13" s="8">
        <v>46129.91666666667</v>
      </c>
    </row>
    <row r="14" spans="1:11" x14ac:dyDescent="0.25">
      <c r="A14" s="6" t="s">
        <v>23</v>
      </c>
      <c r="B14" s="6" t="s">
        <v>24</v>
      </c>
      <c r="C14" s="6" t="s">
        <v>96</v>
      </c>
      <c r="D14" s="20">
        <v>9</v>
      </c>
      <c r="E14" s="20">
        <v>4</v>
      </c>
      <c r="F14" s="20">
        <f>D14-E14</f>
      </c>
      <c r="G14" s="20">
        <v>22</v>
      </c>
      <c r="H14" s="6">
        <f>IF(F14&lt;G14,"REORDER","OK")</f>
      </c>
      <c r="I14" s="7">
        <v>318.4</v>
      </c>
      <c r="J14" s="7">
        <f>D14*I14</f>
      </c>
      <c r="K14" s="8">
        <v>46130.91666666667</v>
      </c>
    </row>
    <row r="15" spans="1:11" x14ac:dyDescent="0.25">
      <c r="A15" s="6" t="s">
        <v>23</v>
      </c>
      <c r="B15" s="6" t="s">
        <v>24</v>
      </c>
      <c r="C15" s="6" t="s">
        <v>97</v>
      </c>
      <c r="D15" s="20">
        <v>3</v>
      </c>
      <c r="E15" s="20">
        <v>0</v>
      </c>
      <c r="F15" s="20">
        <f>D15-E15</f>
      </c>
      <c r="G15" s="20">
        <v>22</v>
      </c>
      <c r="H15" s="6">
        <f>IF(F15&lt;G15,"REORDER","OK")</f>
      </c>
      <c r="I15" s="7">
        <v>318.4</v>
      </c>
      <c r="J15" s="7">
        <f>D15*I15</f>
      </c>
      <c r="K15" s="8">
        <v>46131.91666666667</v>
      </c>
    </row>
    <row r="16" spans="1:11" x14ac:dyDescent="0.25">
      <c r="A16" s="6" t="s">
        <v>23</v>
      </c>
      <c r="B16" s="6" t="s">
        <v>24</v>
      </c>
      <c r="C16" s="6" t="s">
        <v>98</v>
      </c>
      <c r="D16" s="20">
        <v>1</v>
      </c>
      <c r="E16" s="20">
        <v>0</v>
      </c>
      <c r="F16" s="20">
        <f>D16-E16</f>
      </c>
      <c r="G16" s="20">
        <v>22</v>
      </c>
      <c r="H16" s="6">
        <f>IF(F16&lt;G16,"REORDER","OK")</f>
      </c>
      <c r="I16" s="7">
        <v>318.4</v>
      </c>
      <c r="J16" s="7">
        <f>D16*I16</f>
      </c>
      <c r="K16" s="8">
        <v>46132.91666666667</v>
      </c>
    </row>
    <row r="17" spans="1:11" x14ac:dyDescent="0.25">
      <c r="A17" s="6" t="s">
        <v>26</v>
      </c>
      <c r="B17" s="6" t="s">
        <v>27</v>
      </c>
      <c r="C17" s="6" t="s">
        <v>96</v>
      </c>
      <c r="D17" s="20">
        <v>120</v>
      </c>
      <c r="E17" s="20">
        <v>30</v>
      </c>
      <c r="F17" s="20">
        <f>D17-E17</f>
      </c>
      <c r="G17" s="20">
        <v>60</v>
      </c>
      <c r="H17" s="6">
        <f>IF(F17&lt;G17,"REORDER","OK")</f>
      </c>
      <c r="I17" s="7">
        <v>92.3</v>
      </c>
      <c r="J17" s="7">
        <f>D17*I17</f>
      </c>
      <c r="K17" s="8">
        <v>46133.91666666667</v>
      </c>
    </row>
    <row r="18" spans="1:11" x14ac:dyDescent="0.25">
      <c r="A18" s="6" t="s">
        <v>31</v>
      </c>
      <c r="B18" s="6" t="s">
        <v>32</v>
      </c>
      <c r="C18" s="6" t="s">
        <v>96</v>
      </c>
      <c r="D18" s="20">
        <v>98</v>
      </c>
      <c r="E18" s="20">
        <v>25</v>
      </c>
      <c r="F18" s="20">
        <f>D18-E18</f>
      </c>
      <c r="G18" s="20">
        <v>80</v>
      </c>
      <c r="H18" s="6">
        <f>IF(F18&lt;G18,"REORDER","OK")</f>
      </c>
      <c r="I18" s="7">
        <v>64.8</v>
      </c>
      <c r="J18" s="7">
        <f>D18*I18</f>
      </c>
      <c r="K18" s="8">
        <v>46134.91666666667</v>
      </c>
    </row>
    <row r="19" spans="1:11" x14ac:dyDescent="0.25">
      <c r="A19" s="6" t="s">
        <v>34</v>
      </c>
      <c r="B19" s="6" t="s">
        <v>35</v>
      </c>
      <c r="C19" s="6" t="s">
        <v>96</v>
      </c>
      <c r="D19" s="20">
        <v>110</v>
      </c>
      <c r="E19" s="20">
        <v>28</v>
      </c>
      <c r="F19" s="20">
        <f>D19-E19</f>
      </c>
      <c r="G19" s="20">
        <v>50</v>
      </c>
      <c r="H19" s="6">
        <f>IF(F19&lt;G19,"REORDER","OK")</f>
      </c>
      <c r="I19" s="7">
        <v>71.2</v>
      </c>
      <c r="J19" s="7">
        <f>D19*I19</f>
      </c>
      <c r="K19" s="8">
        <v>46135.91666666667</v>
      </c>
    </row>
    <row r="20" spans="1:11" x14ac:dyDescent="0.25">
      <c r="A20" s="6" t="s">
        <v>38</v>
      </c>
      <c r="B20" s="6" t="s">
        <v>39</v>
      </c>
      <c r="C20" s="6" t="s">
        <v>96</v>
      </c>
      <c r="D20" s="20">
        <v>140</v>
      </c>
      <c r="E20" s="20">
        <v>35</v>
      </c>
      <c r="F20" s="20">
        <f>D20-E20</f>
      </c>
      <c r="G20" s="20">
        <v>75</v>
      </c>
      <c r="H20" s="6">
        <f>IF(F20&lt;G20,"REORDER","OK")</f>
      </c>
      <c r="I20" s="7">
        <v>38.55</v>
      </c>
      <c r="J20" s="7">
        <f>D20*I20</f>
      </c>
      <c r="K20" s="8">
        <v>46126.91666666667</v>
      </c>
    </row>
    <row r="21" spans="1:11" x14ac:dyDescent="0.25">
      <c r="A21" s="6" t="s">
        <v>40</v>
      </c>
      <c r="B21" s="6" t="s">
        <v>41</v>
      </c>
      <c r="C21" s="6" t="s">
        <v>96</v>
      </c>
      <c r="D21" s="20">
        <v>3200</v>
      </c>
      <c r="E21" s="20">
        <v>800</v>
      </c>
      <c r="F21" s="20">
        <f>D21-E21</f>
      </c>
      <c r="G21" s="20">
        <v>1500</v>
      </c>
      <c r="H21" s="6">
        <f>IF(F21&lt;G21,"REORDER","OK")</f>
      </c>
      <c r="I21" s="7">
        <v>1.85</v>
      </c>
      <c r="J21" s="7">
        <f>D21*I21</f>
      </c>
      <c r="K21" s="8">
        <v>46127.91666666667</v>
      </c>
    </row>
    <row r="22" spans="1:11" x14ac:dyDescent="0.25">
      <c r="A22" s="6" t="s">
        <v>45</v>
      </c>
      <c r="B22" s="6" t="s">
        <v>46</v>
      </c>
      <c r="C22" s="6" t="s">
        <v>96</v>
      </c>
      <c r="D22" s="20">
        <v>420</v>
      </c>
      <c r="E22" s="20">
        <v>90</v>
      </c>
      <c r="F22" s="20">
        <f>D22-E22</f>
      </c>
      <c r="G22" s="20">
        <v>200</v>
      </c>
      <c r="H22" s="6">
        <f>IF(F22&lt;G22,"REORDER","OK")</f>
      </c>
      <c r="I22" s="7">
        <v>14.2</v>
      </c>
      <c r="J22" s="7">
        <f>D22*I22</f>
      </c>
      <c r="K22" s="8">
        <v>46128.91666666667</v>
      </c>
    </row>
    <row r="23" spans="1:11" x14ac:dyDescent="0.25">
      <c r="A23" s="6" t="s">
        <v>48</v>
      </c>
      <c r="B23" s="6" t="s">
        <v>49</v>
      </c>
      <c r="C23" s="6" t="s">
        <v>96</v>
      </c>
      <c r="D23" s="20">
        <v>180</v>
      </c>
      <c r="E23" s="20">
        <v>40</v>
      </c>
      <c r="F23" s="20">
        <f>D23-E23</f>
      </c>
      <c r="G23" s="20">
        <v>80</v>
      </c>
      <c r="H23" s="6">
        <f>IF(F23&lt;G23,"REORDER","OK")</f>
      </c>
      <c r="I23" s="7">
        <v>28.6</v>
      </c>
      <c r="J23" s="7">
        <f>D23*I23</f>
      </c>
      <c r="K23" s="8">
        <v>46129.91666666667</v>
      </c>
    </row>
    <row r="24" spans="1:11" x14ac:dyDescent="0.25">
      <c r="A24" s="6" t="s">
        <v>53</v>
      </c>
      <c r="B24" s="6" t="s">
        <v>54</v>
      </c>
      <c r="C24" s="6" t="s">
        <v>96</v>
      </c>
      <c r="D24" s="20">
        <v>8400</v>
      </c>
      <c r="E24" s="20">
        <v>2100</v>
      </c>
      <c r="F24" s="20">
        <f>D24-E24</f>
      </c>
      <c r="G24" s="20">
        <v>5000</v>
      </c>
      <c r="H24" s="6">
        <f>IF(F24&lt;G24,"REORDER","OK")</f>
      </c>
      <c r="I24" s="7">
        <v>0.18</v>
      </c>
      <c r="J24" s="7">
        <f>D24*I24</f>
      </c>
      <c r="K24" s="8">
        <v>46130.91666666667</v>
      </c>
    </row>
    <row r="25" spans="1:11" x14ac:dyDescent="0.25">
      <c r="A25" s="6" t="s">
        <v>57</v>
      </c>
      <c r="B25" s="6" t="s">
        <v>58</v>
      </c>
      <c r="C25" s="6" t="s">
        <v>96</v>
      </c>
      <c r="D25" s="20">
        <v>6800</v>
      </c>
      <c r="E25" s="20">
        <v>1700</v>
      </c>
      <c r="F25" s="20">
        <f>D25-E25</f>
      </c>
      <c r="G25" s="20">
        <v>4000</v>
      </c>
      <c r="H25" s="6">
        <f>IF(F25&lt;G25,"REORDER","OK")</f>
      </c>
      <c r="I25" s="7">
        <v>0.31</v>
      </c>
      <c r="J25" s="7">
        <f>D25*I25</f>
      </c>
      <c r="K25" s="8">
        <v>46131.91666666667</v>
      </c>
    </row>
    <row r="26" spans="1:11" x14ac:dyDescent="0.25">
      <c r="A26" s="6" t="s">
        <v>59</v>
      </c>
      <c r="B26" s="6" t="s">
        <v>60</v>
      </c>
      <c r="C26" s="6" t="s">
        <v>96</v>
      </c>
      <c r="D26" s="20">
        <v>22000</v>
      </c>
      <c r="E26" s="20">
        <v>4200</v>
      </c>
      <c r="F26" s="20">
        <f>D26-E26</f>
      </c>
      <c r="G26" s="20">
        <v>10000</v>
      </c>
      <c r="H26" s="6">
        <f>IF(F26&lt;G26,"REORDER","OK")</f>
      </c>
      <c r="I26" s="7">
        <v>0.22</v>
      </c>
      <c r="J26" s="7">
        <f>D26*I26</f>
      </c>
      <c r="K26" s="8">
        <v>46132.91666666667</v>
      </c>
    </row>
    <row r="27" spans="1:11" x14ac:dyDescent="0.25">
      <c r="A27" s="6" t="s">
        <v>63</v>
      </c>
      <c r="B27" s="6" t="s">
        <v>64</v>
      </c>
      <c r="C27" s="6" t="s">
        <v>96</v>
      </c>
      <c r="D27" s="20">
        <v>18500</v>
      </c>
      <c r="E27" s="20">
        <v>3600</v>
      </c>
      <c r="F27" s="20">
        <f>D27-E27</f>
      </c>
      <c r="G27" s="20">
        <v>8000</v>
      </c>
      <c r="H27" s="6">
        <f>IF(F27&lt;G27,"REORDER","OK")</f>
      </c>
      <c r="I27" s="7">
        <v>0.34</v>
      </c>
      <c r="J27" s="7">
        <f>D27*I27</f>
      </c>
      <c r="K27" s="8">
        <v>46133.91666666667</v>
      </c>
    </row>
    <row r="28" spans="1:11" x14ac:dyDescent="0.25">
      <c r="A28" s="6" t="s">
        <v>65</v>
      </c>
      <c r="B28" s="6" t="s">
        <v>66</v>
      </c>
      <c r="C28" s="6" t="s">
        <v>96</v>
      </c>
      <c r="D28" s="20">
        <v>950</v>
      </c>
      <c r="E28" s="20">
        <v>220</v>
      </c>
      <c r="F28" s="20">
        <f>D28-E28</f>
      </c>
      <c r="G28" s="20">
        <v>600</v>
      </c>
      <c r="H28" s="6">
        <f>IF(F28&lt;G28,"REORDER","OK")</f>
      </c>
      <c r="I28" s="7">
        <v>4.85</v>
      </c>
      <c r="J28" s="7">
        <f>D28*I28</f>
      </c>
      <c r="K28" s="8">
        <v>46134.91666666667</v>
      </c>
    </row>
    <row r="29" spans="1:11" x14ac:dyDescent="0.25">
      <c r="A29" s="6" t="s">
        <v>69</v>
      </c>
      <c r="B29" s="6" t="s">
        <v>70</v>
      </c>
      <c r="C29" s="6" t="s">
        <v>96</v>
      </c>
      <c r="D29" s="20">
        <v>620</v>
      </c>
      <c r="E29" s="20">
        <v>140</v>
      </c>
      <c r="F29" s="20">
        <f>D29-E29</f>
      </c>
      <c r="G29" s="20">
        <v>400</v>
      </c>
      <c r="H29" s="6">
        <f>IF(F29&lt;G29,"REORDER","OK")</f>
      </c>
      <c r="I29" s="7">
        <v>7.4</v>
      </c>
      <c r="J29" s="7">
        <f>D29*I29</f>
      </c>
      <c r="K29" s="8">
        <v>46135.91666666667</v>
      </c>
    </row>
    <row r="30" spans="1:11" x14ac:dyDescent="0.25">
      <c r="A30" s="6" t="s">
        <v>71</v>
      </c>
      <c r="B30" s="6" t="s">
        <v>72</v>
      </c>
      <c r="C30" s="6" t="s">
        <v>96</v>
      </c>
      <c r="D30" s="20">
        <v>1280</v>
      </c>
      <c r="E30" s="20">
        <v>220</v>
      </c>
      <c r="F30" s="20">
        <f>D30-E30</f>
      </c>
      <c r="G30" s="20">
        <v>800</v>
      </c>
      <c r="H30" s="6">
        <f>IF(F30&lt;G30,"REORDER","OK")</f>
      </c>
      <c r="I30" s="7">
        <v>3.85</v>
      </c>
      <c r="J30" s="7">
        <f>D30*I30</f>
      </c>
      <c r="K30" s="8">
        <v>46126.91666666667</v>
      </c>
    </row>
    <row r="31" spans="1:11" x14ac:dyDescent="0.25">
      <c r="A31" s="6" t="s">
        <v>76</v>
      </c>
      <c r="B31" s="6" t="s">
        <v>77</v>
      </c>
      <c r="C31" s="6" t="s">
        <v>96</v>
      </c>
      <c r="D31" s="20">
        <v>180</v>
      </c>
      <c r="E31" s="20">
        <v>35</v>
      </c>
      <c r="F31" s="20">
        <f>D31-E31</f>
      </c>
      <c r="G31" s="20">
        <v>120</v>
      </c>
      <c r="H31" s="6">
        <f>IF(F31&lt;G31,"REORDER","OK")</f>
      </c>
      <c r="I31" s="7">
        <v>12.4</v>
      </c>
      <c r="J31" s="7">
        <f>D31*I31</f>
      </c>
      <c r="K31" s="8">
        <v>46127.91666666667</v>
      </c>
    </row>
    <row r="32" spans="1:10" x14ac:dyDescent="0.25">
      <c r="A32" s="21" t="s">
        <v>99</v>
      </c>
      <c r="B32" s="21" t="s">
        <v>100</v>
      </c>
      <c r="C32" s="21" t="s">
        <v>100</v>
      </c>
      <c r="D32" s="22">
        <f>SUM(D2:D31)</f>
      </c>
      <c r="E32" s="22">
        <f>SUM(E2:E31)</f>
      </c>
      <c r="F32" s="22">
        <f>SUM(F2:F31)</f>
      </c>
      <c r="J32" s="23">
        <f>SUM(J2:J31)</f>
      </c>
    </row>
  </sheetData>
  <autoFilter ref="A1:K1"/>
  <conditionalFormatting sqref="H2:H31">
    <cfRule type="containsText" dxfId="0" priority="1">
      <formula>NOT(ISERROR(SEARCH("REORDER",H2)))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2" customWidth="1"/>
    <col min="3" max="3" width="28" customWidth="1"/>
    <col min="4" max="4" width="10" customWidth="1"/>
    <col min="5" max="5" width="12" customWidth="1"/>
    <col min="6" max="6" width="30" customWidth="1"/>
    <col min="7" max="7" width="8" style="18" customWidth="1"/>
    <col min="8" max="8" width="12" style="1" customWidth="1"/>
    <col min="9" max="9" width="11" style="24" customWidth="1"/>
    <col min="10" max="10" width="13" style="1" customWidth="1"/>
    <col min="11" max="11" width="8" style="24" customWidth="1"/>
    <col min="12" max="12" width="13" style="1" customWidth="1"/>
    <col min="13" max="13" width="14" style="1" customWidth="1"/>
    <col min="14" max="14" width="12" customWidth="1"/>
    <col min="15" max="15" width="12" style="2" customWidth="1"/>
  </cols>
  <sheetData>
    <row r="1" ht="22" customHeight="1" spans="1:15" x14ac:dyDescent="0.25">
      <c r="A1" s="3" t="s">
        <v>101</v>
      </c>
      <c r="B1" s="5" t="s">
        <v>102</v>
      </c>
      <c r="C1" s="3" t="s">
        <v>103</v>
      </c>
      <c r="D1" s="3" t="s">
        <v>104</v>
      </c>
      <c r="E1" s="3" t="s">
        <v>0</v>
      </c>
      <c r="F1" s="3" t="s">
        <v>1</v>
      </c>
      <c r="G1" s="19" t="s">
        <v>105</v>
      </c>
      <c r="H1" s="4" t="s">
        <v>106</v>
      </c>
      <c r="I1" s="25" t="s">
        <v>107</v>
      </c>
      <c r="J1" s="4" t="s">
        <v>108</v>
      </c>
      <c r="K1" s="25" t="s">
        <v>109</v>
      </c>
      <c r="L1" s="4" t="s">
        <v>110</v>
      </c>
      <c r="M1" s="4" t="s">
        <v>111</v>
      </c>
      <c r="N1" s="3" t="s">
        <v>93</v>
      </c>
      <c r="O1" s="5" t="s">
        <v>112</v>
      </c>
    </row>
    <row r="2" spans="1:15" x14ac:dyDescent="0.25">
      <c r="A2" s="6" t="s">
        <v>113</v>
      </c>
      <c r="B2" s="8">
        <v>46114</v>
      </c>
      <c r="C2" s="6" t="s">
        <v>114</v>
      </c>
      <c r="D2" s="6" t="s">
        <v>115</v>
      </c>
      <c r="E2" s="6" t="s">
        <v>10</v>
      </c>
      <c r="F2" s="6" t="s">
        <v>11</v>
      </c>
      <c r="G2" s="20">
        <v>8</v>
      </c>
      <c r="H2" s="7">
        <v>925</v>
      </c>
      <c r="I2" s="26">
        <v>0.05</v>
      </c>
      <c r="J2" s="7">
        <f>G2*H2*(1-I2)</f>
      </c>
      <c r="K2" s="26">
        <v>0.21</v>
      </c>
      <c r="L2" s="7">
        <f>J2*K2</f>
      </c>
      <c r="M2" s="7">
        <f>J2+L2</f>
      </c>
      <c r="N2" s="6" t="s">
        <v>116</v>
      </c>
      <c r="O2" s="8">
        <v>46144</v>
      </c>
    </row>
    <row r="3" spans="1:15" x14ac:dyDescent="0.25">
      <c r="A3" s="6" t="s">
        <v>117</v>
      </c>
      <c r="B3" s="8">
        <v>46115</v>
      </c>
      <c r="C3" s="6" t="s">
        <v>114</v>
      </c>
      <c r="D3" s="6" t="s">
        <v>115</v>
      </c>
      <c r="E3" s="6" t="s">
        <v>18</v>
      </c>
      <c r="F3" s="6" t="s">
        <v>19</v>
      </c>
      <c r="G3" s="20">
        <v>12</v>
      </c>
      <c r="H3" s="7">
        <v>415</v>
      </c>
      <c r="I3" s="26">
        <v>0.05</v>
      </c>
      <c r="J3" s="7">
        <f>G3*H3*(1-I3)</f>
      </c>
      <c r="K3" s="26">
        <v>0.21</v>
      </c>
      <c r="L3" s="7">
        <f>J3*K3</f>
      </c>
      <c r="M3" s="7">
        <f>J3+L3</f>
      </c>
      <c r="N3" s="6" t="s">
        <v>116</v>
      </c>
      <c r="O3" s="8">
        <v>46145</v>
      </c>
    </row>
    <row r="4" spans="1:15" x14ac:dyDescent="0.25">
      <c r="A4" s="6" t="s">
        <v>118</v>
      </c>
      <c r="B4" s="8">
        <v>46117</v>
      </c>
      <c r="C4" s="6" t="s">
        <v>119</v>
      </c>
      <c r="D4" s="6" t="s">
        <v>120</v>
      </c>
      <c r="E4" s="6" t="s">
        <v>21</v>
      </c>
      <c r="F4" s="6" t="s">
        <v>22</v>
      </c>
      <c r="G4" s="20">
        <v>6</v>
      </c>
      <c r="H4" s="7">
        <v>565</v>
      </c>
      <c r="I4" s="26">
        <v>0.1</v>
      </c>
      <c r="J4" s="7">
        <f>G4*H4*(1-I4)</f>
      </c>
      <c r="K4" s="26">
        <v>0.19</v>
      </c>
      <c r="L4" s="7">
        <f>J4*K4</f>
      </c>
      <c r="M4" s="7">
        <f>J4+L4</f>
      </c>
      <c r="N4" s="6" t="s">
        <v>116</v>
      </c>
      <c r="O4" s="8">
        <v>46147</v>
      </c>
    </row>
    <row r="5" spans="1:15" x14ac:dyDescent="0.25">
      <c r="A5" s="6" t="s">
        <v>121</v>
      </c>
      <c r="B5" s="8">
        <v>46120</v>
      </c>
      <c r="C5" s="6" t="s">
        <v>119</v>
      </c>
      <c r="D5" s="6" t="s">
        <v>120</v>
      </c>
      <c r="E5" s="6" t="s">
        <v>16</v>
      </c>
      <c r="F5" s="6" t="s">
        <v>17</v>
      </c>
      <c r="G5" s="20">
        <v>4</v>
      </c>
      <c r="H5" s="7">
        <v>1095</v>
      </c>
      <c r="I5" s="26">
        <v>0.1</v>
      </c>
      <c r="J5" s="7">
        <f>G5*H5*(1-I5)</f>
      </c>
      <c r="K5" s="26">
        <v>0.19</v>
      </c>
      <c r="L5" s="7">
        <f>J5*K5</f>
      </c>
      <c r="M5" s="7">
        <f>J5+L5</f>
      </c>
      <c r="N5" s="6" t="s">
        <v>116</v>
      </c>
      <c r="O5" s="8">
        <v>46150</v>
      </c>
    </row>
    <row r="6" spans="1:15" x14ac:dyDescent="0.25">
      <c r="A6" s="6" t="s">
        <v>122</v>
      </c>
      <c r="B6" s="8">
        <v>46122</v>
      </c>
      <c r="C6" s="6" t="s">
        <v>123</v>
      </c>
      <c r="D6" s="6" t="s">
        <v>124</v>
      </c>
      <c r="E6" s="6" t="s">
        <v>23</v>
      </c>
      <c r="F6" s="6" t="s">
        <v>24</v>
      </c>
      <c r="G6" s="20">
        <v>3</v>
      </c>
      <c r="H6" s="7">
        <v>740</v>
      </c>
      <c r="I6" s="26">
        <v>0</v>
      </c>
      <c r="J6" s="7">
        <f>G6*H6*(1-I6)</f>
      </c>
      <c r="K6" s="26">
        <v>0.23</v>
      </c>
      <c r="L6" s="7">
        <f>J6*K6</f>
      </c>
      <c r="M6" s="7">
        <f>J6+L6</f>
      </c>
      <c r="N6" s="6" t="s">
        <v>125</v>
      </c>
      <c r="O6" s="8">
        <v>46152</v>
      </c>
    </row>
    <row r="7" spans="1:15" x14ac:dyDescent="0.25">
      <c r="A7" s="6" t="s">
        <v>126</v>
      </c>
      <c r="B7" s="8">
        <v>46124</v>
      </c>
      <c r="C7" s="6" t="s">
        <v>123</v>
      </c>
      <c r="D7" s="6" t="s">
        <v>124</v>
      </c>
      <c r="E7" s="6" t="s">
        <v>10</v>
      </c>
      <c r="F7" s="6" t="s">
        <v>11</v>
      </c>
      <c r="G7" s="20">
        <v>10</v>
      </c>
      <c r="H7" s="7">
        <v>925</v>
      </c>
      <c r="I7" s="26">
        <v>0.07</v>
      </c>
      <c r="J7" s="7">
        <f>G7*H7*(1-I7)</f>
      </c>
      <c r="K7" s="26">
        <v>0.23</v>
      </c>
      <c r="L7" s="7">
        <f>J7*K7</f>
      </c>
      <c r="M7" s="7">
        <f>J7+L7</f>
      </c>
      <c r="N7" s="6" t="s">
        <v>125</v>
      </c>
      <c r="O7" s="8">
        <v>46154</v>
      </c>
    </row>
    <row r="8" spans="1:15" x14ac:dyDescent="0.25">
      <c r="A8" s="6" t="s">
        <v>127</v>
      </c>
      <c r="B8" s="8">
        <v>46127</v>
      </c>
      <c r="C8" s="6" t="s">
        <v>128</v>
      </c>
      <c r="D8" s="6" t="s">
        <v>129</v>
      </c>
      <c r="E8" s="6" t="s">
        <v>18</v>
      </c>
      <c r="F8" s="6" t="s">
        <v>19</v>
      </c>
      <c r="G8" s="20">
        <v>20</v>
      </c>
      <c r="H8" s="7">
        <v>415</v>
      </c>
      <c r="I8" s="26">
        <v>0.08</v>
      </c>
      <c r="J8" s="7">
        <f>G8*H8*(1-I8)</f>
      </c>
      <c r="K8" s="26">
        <v>0.21</v>
      </c>
      <c r="L8" s="7">
        <f>J8*K8</f>
      </c>
      <c r="M8" s="7">
        <f>J8+L8</f>
      </c>
      <c r="N8" s="6" t="s">
        <v>125</v>
      </c>
      <c r="O8" s="8">
        <v>46157</v>
      </c>
    </row>
    <row r="9" spans="1:15" x14ac:dyDescent="0.25">
      <c r="A9" s="6" t="s">
        <v>130</v>
      </c>
      <c r="B9" s="8">
        <v>46130</v>
      </c>
      <c r="C9" s="6" t="s">
        <v>128</v>
      </c>
      <c r="D9" s="6" t="s">
        <v>129</v>
      </c>
      <c r="E9" s="6" t="s">
        <v>21</v>
      </c>
      <c r="F9" s="6" t="s">
        <v>22</v>
      </c>
      <c r="G9" s="20">
        <v>8</v>
      </c>
      <c r="H9" s="7">
        <v>565</v>
      </c>
      <c r="I9" s="26">
        <v>0.08</v>
      </c>
      <c r="J9" s="7">
        <f>G9*H9*(1-I9)</f>
      </c>
      <c r="K9" s="26">
        <v>0.21</v>
      </c>
      <c r="L9" s="7">
        <f>J9*K9</f>
      </c>
      <c r="M9" s="7">
        <f>J9+L9</f>
      </c>
      <c r="N9" s="6" t="s">
        <v>131</v>
      </c>
      <c r="O9" s="8">
        <v>46160</v>
      </c>
    </row>
    <row r="10" spans="1:15" x14ac:dyDescent="0.25">
      <c r="A10" s="6" t="s">
        <v>132</v>
      </c>
      <c r="B10" s="8">
        <v>46133</v>
      </c>
      <c r="C10" s="6" t="s">
        <v>133</v>
      </c>
      <c r="D10" s="6" t="s">
        <v>134</v>
      </c>
      <c r="E10" s="6" t="s">
        <v>10</v>
      </c>
      <c r="F10" s="6" t="s">
        <v>11</v>
      </c>
      <c r="G10" s="20">
        <v>14</v>
      </c>
      <c r="H10" s="7">
        <v>925</v>
      </c>
      <c r="I10" s="26">
        <v>0.03</v>
      </c>
      <c r="J10" s="7">
        <f>G10*H10*(1-I10)</f>
      </c>
      <c r="K10" s="26">
        <v>0.25</v>
      </c>
      <c r="L10" s="7">
        <f>J10*K10</f>
      </c>
      <c r="M10" s="7">
        <f>J10+L10</f>
      </c>
      <c r="N10" s="6" t="s">
        <v>131</v>
      </c>
      <c r="O10" s="8">
        <v>46163</v>
      </c>
    </row>
    <row r="11" spans="1:15" x14ac:dyDescent="0.25">
      <c r="A11" s="6" t="s">
        <v>135</v>
      </c>
      <c r="B11" s="8">
        <v>46135</v>
      </c>
      <c r="C11" s="6" t="s">
        <v>133</v>
      </c>
      <c r="D11" s="6" t="s">
        <v>134</v>
      </c>
      <c r="E11" s="6" t="s">
        <v>23</v>
      </c>
      <c r="F11" s="6" t="s">
        <v>24</v>
      </c>
      <c r="G11" s="20">
        <v>5</v>
      </c>
      <c r="H11" s="7">
        <v>740</v>
      </c>
      <c r="I11" s="26">
        <v>0</v>
      </c>
      <c r="J11" s="7">
        <f>G11*H11*(1-I11)</f>
      </c>
      <c r="K11" s="26">
        <v>0.25</v>
      </c>
      <c r="L11" s="7">
        <f>J11*K11</f>
      </c>
      <c r="M11" s="7">
        <f>J11+L11</f>
      </c>
      <c r="N11" s="6" t="s">
        <v>131</v>
      </c>
      <c r="O11" s="8">
        <v>46165</v>
      </c>
    </row>
    <row r="12" spans="1:15" x14ac:dyDescent="0.25">
      <c r="A12" s="6" t="s">
        <v>136</v>
      </c>
      <c r="B12" s="8">
        <v>46137</v>
      </c>
      <c r="C12" s="6" t="s">
        <v>137</v>
      </c>
      <c r="D12" s="6" t="s">
        <v>138</v>
      </c>
      <c r="E12" s="6" t="s">
        <v>16</v>
      </c>
      <c r="F12" s="6" t="s">
        <v>17</v>
      </c>
      <c r="G12" s="20">
        <v>6</v>
      </c>
      <c r="H12" s="7">
        <v>1095</v>
      </c>
      <c r="I12" s="26">
        <v>0.06</v>
      </c>
      <c r="J12" s="7">
        <f>G12*H12*(1-I12)</f>
      </c>
      <c r="K12" s="26">
        <v>0.25</v>
      </c>
      <c r="L12" s="7">
        <f>J12*K12</f>
      </c>
      <c r="M12" s="7">
        <f>J12+L12</f>
      </c>
      <c r="N12" s="6" t="s">
        <v>139</v>
      </c>
      <c r="O12" s="8">
        <v>46167</v>
      </c>
    </row>
    <row r="13" spans="1:15" x14ac:dyDescent="0.25">
      <c r="A13" s="6" t="s">
        <v>140</v>
      </c>
      <c r="B13" s="8">
        <v>46140</v>
      </c>
      <c r="C13" s="6" t="s">
        <v>137</v>
      </c>
      <c r="D13" s="6" t="s">
        <v>138</v>
      </c>
      <c r="E13" s="6" t="s">
        <v>18</v>
      </c>
      <c r="F13" s="6" t="s">
        <v>19</v>
      </c>
      <c r="G13" s="20">
        <v>18</v>
      </c>
      <c r="H13" s="7">
        <v>415</v>
      </c>
      <c r="I13" s="26">
        <v>0.06</v>
      </c>
      <c r="J13" s="7">
        <f>G13*H13*(1-I13)</f>
      </c>
      <c r="K13" s="26">
        <v>0.25</v>
      </c>
      <c r="L13" s="7">
        <f>J13*K13</f>
      </c>
      <c r="M13" s="7">
        <f>J13+L13</f>
      </c>
      <c r="N13" s="6" t="s">
        <v>139</v>
      </c>
      <c r="O13" s="8">
        <v>46170</v>
      </c>
    </row>
    <row r="14" spans="1:15" x14ac:dyDescent="0.25">
      <c r="A14" s="6" t="s">
        <v>141</v>
      </c>
      <c r="B14" s="8">
        <v>46144</v>
      </c>
      <c r="C14" s="6" t="s">
        <v>142</v>
      </c>
      <c r="D14" s="6" t="s">
        <v>143</v>
      </c>
      <c r="E14" s="6" t="s">
        <v>21</v>
      </c>
      <c r="F14" s="6" t="s">
        <v>22</v>
      </c>
      <c r="G14" s="20">
        <v>10</v>
      </c>
      <c r="H14" s="7">
        <v>565</v>
      </c>
      <c r="I14" s="26">
        <v>0.04</v>
      </c>
      <c r="J14" s="7">
        <f>G14*H14*(1-I14)</f>
      </c>
      <c r="K14" s="26">
        <v>0.077</v>
      </c>
      <c r="L14" s="7">
        <f>J14*K14</f>
      </c>
      <c r="M14" s="7">
        <f>J14+L14</f>
      </c>
      <c r="N14" s="6" t="s">
        <v>139</v>
      </c>
      <c r="O14" s="8">
        <v>46174</v>
      </c>
    </row>
    <row r="15" spans="1:15" x14ac:dyDescent="0.25">
      <c r="A15" s="6" t="s">
        <v>144</v>
      </c>
      <c r="B15" s="8">
        <v>46147</v>
      </c>
      <c r="C15" s="6" t="s">
        <v>142</v>
      </c>
      <c r="D15" s="6" t="s">
        <v>143</v>
      </c>
      <c r="E15" s="6" t="s">
        <v>23</v>
      </c>
      <c r="F15" s="6" t="s">
        <v>24</v>
      </c>
      <c r="G15" s="20">
        <v>6</v>
      </c>
      <c r="H15" s="7">
        <v>740</v>
      </c>
      <c r="I15" s="26">
        <v>0.04</v>
      </c>
      <c r="J15" s="7">
        <f>G15*H15*(1-I15)</f>
      </c>
      <c r="K15" s="26">
        <v>0.077</v>
      </c>
      <c r="L15" s="7">
        <f>J15*K15</f>
      </c>
      <c r="M15" s="7">
        <f>J15+L15</f>
      </c>
      <c r="N15" s="6" t="s">
        <v>139</v>
      </c>
      <c r="O15" s="8">
        <v>46177</v>
      </c>
    </row>
    <row r="16" spans="1:13" x14ac:dyDescent="0.25">
      <c r="A16" s="21" t="s">
        <v>99</v>
      </c>
      <c r="J16" s="23">
        <f>SUM(J2:J15)</f>
      </c>
      <c r="L16" s="23">
        <f>SUM(L2:L15)</f>
      </c>
      <c r="M16" s="23">
        <f>SUM(M2:M15)</f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2" customWidth="1"/>
    <col min="3" max="3" width="26" customWidth="1"/>
    <col min="4" max="4" width="12" customWidth="1"/>
    <col min="5" max="5" width="30" customWidth="1"/>
    <col min="6" max="6" width="10" style="18" customWidth="1"/>
    <col min="7" max="7" width="12" style="11" customWidth="1"/>
    <col min="8" max="8" width="14" style="1" customWidth="1"/>
    <col min="9" max="9" width="16" style="2" customWidth="1"/>
    <col min="10" max="10" width="12" customWidth="1"/>
  </cols>
  <sheetData>
    <row r="1" ht="22" customHeight="1" spans="1:10" x14ac:dyDescent="0.25">
      <c r="A1" s="3" t="s">
        <v>145</v>
      </c>
      <c r="B1" s="5" t="s">
        <v>102</v>
      </c>
      <c r="C1" s="3" t="s">
        <v>146</v>
      </c>
      <c r="D1" s="3" t="s">
        <v>0</v>
      </c>
      <c r="E1" s="3" t="s">
        <v>1</v>
      </c>
      <c r="F1" s="19" t="s">
        <v>105</v>
      </c>
      <c r="G1" s="14" t="s">
        <v>87</v>
      </c>
      <c r="H1" s="4" t="s">
        <v>108</v>
      </c>
      <c r="I1" s="5" t="s">
        <v>147</v>
      </c>
      <c r="J1" s="3" t="s">
        <v>93</v>
      </c>
    </row>
    <row r="2" spans="1:10" x14ac:dyDescent="0.25">
      <c r="A2" s="6" t="s">
        <v>148</v>
      </c>
      <c r="B2" s="8">
        <v>46116</v>
      </c>
      <c r="C2" s="6" t="s">
        <v>29</v>
      </c>
      <c r="D2" s="6" t="s">
        <v>40</v>
      </c>
      <c r="E2" s="6" t="s">
        <v>41</v>
      </c>
      <c r="F2" s="20">
        <v>4000</v>
      </c>
      <c r="G2" s="17">
        <v>1.85</v>
      </c>
      <c r="H2" s="7">
        <f>F2*G2</f>
      </c>
      <c r="I2" s="8">
        <v>46134</v>
      </c>
      <c r="J2" s="6" t="s">
        <v>149</v>
      </c>
    </row>
    <row r="3" spans="1:10" x14ac:dyDescent="0.25">
      <c r="A3" s="6" t="s">
        <v>150</v>
      </c>
      <c r="B3" s="8">
        <v>46117</v>
      </c>
      <c r="C3" s="6" t="s">
        <v>33</v>
      </c>
      <c r="D3" s="6" t="s">
        <v>45</v>
      </c>
      <c r="E3" s="6" t="s">
        <v>46</v>
      </c>
      <c r="F3" s="20">
        <v>600</v>
      </c>
      <c r="G3" s="17">
        <v>14.2</v>
      </c>
      <c r="H3" s="7">
        <f>F3*G3</f>
      </c>
      <c r="I3" s="8">
        <v>46137</v>
      </c>
      <c r="J3" s="6" t="s">
        <v>149</v>
      </c>
    </row>
    <row r="4" spans="1:10" x14ac:dyDescent="0.25">
      <c r="A4" s="6" t="s">
        <v>151</v>
      </c>
      <c r="B4" s="8">
        <v>46118</v>
      </c>
      <c r="C4" s="6" t="s">
        <v>51</v>
      </c>
      <c r="D4" s="6" t="s">
        <v>48</v>
      </c>
      <c r="E4" s="6" t="s">
        <v>49</v>
      </c>
      <c r="F4" s="20">
        <v>220</v>
      </c>
      <c r="G4" s="17">
        <v>28.6</v>
      </c>
      <c r="H4" s="7">
        <f>F4*G4</f>
      </c>
      <c r="I4" s="8">
        <v>46130</v>
      </c>
      <c r="J4" s="6" t="s">
        <v>149</v>
      </c>
    </row>
    <row r="5" spans="1:10" x14ac:dyDescent="0.25">
      <c r="A5" s="6" t="s">
        <v>152</v>
      </c>
      <c r="B5" s="8">
        <v>46121</v>
      </c>
      <c r="C5" s="6" t="s">
        <v>55</v>
      </c>
      <c r="D5" s="6" t="s">
        <v>53</v>
      </c>
      <c r="E5" s="6" t="s">
        <v>54</v>
      </c>
      <c r="F5" s="20">
        <v>12000</v>
      </c>
      <c r="G5" s="17">
        <v>0.18</v>
      </c>
      <c r="H5" s="7">
        <f>F5*G5</f>
      </c>
      <c r="I5" s="8">
        <v>46127</v>
      </c>
      <c r="J5" s="6" t="s">
        <v>149</v>
      </c>
    </row>
    <row r="6" spans="1:10" x14ac:dyDescent="0.25">
      <c r="A6" s="6" t="s">
        <v>153</v>
      </c>
      <c r="B6" s="8">
        <v>46121</v>
      </c>
      <c r="C6" s="6" t="s">
        <v>55</v>
      </c>
      <c r="D6" s="6" t="s">
        <v>57</v>
      </c>
      <c r="E6" s="6" t="s">
        <v>58</v>
      </c>
      <c r="F6" s="20">
        <v>10000</v>
      </c>
      <c r="G6" s="17">
        <v>0.31</v>
      </c>
      <c r="H6" s="7">
        <f>F6*G6</f>
      </c>
      <c r="I6" s="8">
        <v>46127</v>
      </c>
      <c r="J6" s="6" t="s">
        <v>149</v>
      </c>
    </row>
    <row r="7" spans="1:10" x14ac:dyDescent="0.25">
      <c r="A7" s="6" t="s">
        <v>154</v>
      </c>
      <c r="B7" s="8">
        <v>46123</v>
      </c>
      <c r="C7" s="6" t="s">
        <v>61</v>
      </c>
      <c r="D7" s="6" t="s">
        <v>59</v>
      </c>
      <c r="E7" s="6" t="s">
        <v>60</v>
      </c>
      <c r="F7" s="20">
        <v>30000</v>
      </c>
      <c r="G7" s="17">
        <v>0.22</v>
      </c>
      <c r="H7" s="7">
        <f>F7*G7</f>
      </c>
      <c r="I7" s="8">
        <v>46132</v>
      </c>
      <c r="J7" s="6" t="s">
        <v>149</v>
      </c>
    </row>
    <row r="8" spans="1:10" x14ac:dyDescent="0.25">
      <c r="A8" s="6" t="s">
        <v>155</v>
      </c>
      <c r="B8" s="8">
        <v>46123</v>
      </c>
      <c r="C8" s="6" t="s">
        <v>61</v>
      </c>
      <c r="D8" s="6" t="s">
        <v>63</v>
      </c>
      <c r="E8" s="6" t="s">
        <v>64</v>
      </c>
      <c r="F8" s="20">
        <v>24000</v>
      </c>
      <c r="G8" s="17">
        <v>0.34</v>
      </c>
      <c r="H8" s="7">
        <f>F8*G8</f>
      </c>
      <c r="I8" s="8">
        <v>46132</v>
      </c>
      <c r="J8" s="6" t="s">
        <v>149</v>
      </c>
    </row>
    <row r="9" spans="1:10" x14ac:dyDescent="0.25">
      <c r="A9" s="6" t="s">
        <v>156</v>
      </c>
      <c r="B9" s="8">
        <v>46127</v>
      </c>
      <c r="C9" s="6" t="s">
        <v>67</v>
      </c>
      <c r="D9" s="6" t="s">
        <v>65</v>
      </c>
      <c r="E9" s="6" t="s">
        <v>66</v>
      </c>
      <c r="F9" s="20">
        <v>1200</v>
      </c>
      <c r="G9" s="17">
        <v>4.85</v>
      </c>
      <c r="H9" s="7">
        <f>F9*G9</f>
      </c>
      <c r="I9" s="8">
        <v>46141</v>
      </c>
      <c r="J9" s="6" t="s">
        <v>157</v>
      </c>
    </row>
    <row r="10" spans="1:10" x14ac:dyDescent="0.25">
      <c r="A10" s="6" t="s">
        <v>158</v>
      </c>
      <c r="B10" s="8">
        <v>46127</v>
      </c>
      <c r="C10" s="6" t="s">
        <v>67</v>
      </c>
      <c r="D10" s="6" t="s">
        <v>69</v>
      </c>
      <c r="E10" s="6" t="s">
        <v>70</v>
      </c>
      <c r="F10" s="20">
        <v>800</v>
      </c>
      <c r="G10" s="17">
        <v>7.4</v>
      </c>
      <c r="H10" s="7">
        <f>F10*G10</f>
      </c>
      <c r="I10" s="8">
        <v>46141</v>
      </c>
      <c r="J10" s="6" t="s">
        <v>157</v>
      </c>
    </row>
    <row r="11" spans="1:10" x14ac:dyDescent="0.25">
      <c r="A11" s="6" t="s">
        <v>159</v>
      </c>
      <c r="B11" s="8">
        <v>46130</v>
      </c>
      <c r="C11" s="6" t="s">
        <v>74</v>
      </c>
      <c r="D11" s="6" t="s">
        <v>71</v>
      </c>
      <c r="E11" s="6" t="s">
        <v>72</v>
      </c>
      <c r="F11" s="20">
        <v>1600</v>
      </c>
      <c r="G11" s="17">
        <v>3.85</v>
      </c>
      <c r="H11" s="7">
        <f>F11*G11</f>
      </c>
      <c r="I11" s="8">
        <v>46135</v>
      </c>
      <c r="J11" s="6" t="s">
        <v>149</v>
      </c>
    </row>
    <row r="12" spans="1:10" x14ac:dyDescent="0.25">
      <c r="A12" s="6" t="s">
        <v>160</v>
      </c>
      <c r="B12" s="8">
        <v>46132</v>
      </c>
      <c r="C12" s="6" t="s">
        <v>78</v>
      </c>
      <c r="D12" s="6" t="s">
        <v>76</v>
      </c>
      <c r="E12" s="6" t="s">
        <v>77</v>
      </c>
      <c r="F12" s="20">
        <v>240</v>
      </c>
      <c r="G12" s="17">
        <v>12.4</v>
      </c>
      <c r="H12" s="7">
        <f>F12*G12</f>
      </c>
      <c r="I12" s="8">
        <v>46148</v>
      </c>
      <c r="J12" s="6" t="s">
        <v>131</v>
      </c>
    </row>
    <row r="13" spans="1:10" x14ac:dyDescent="0.25">
      <c r="A13" s="6" t="s">
        <v>161</v>
      </c>
      <c r="B13" s="8">
        <v>46138</v>
      </c>
      <c r="C13" s="6" t="s">
        <v>29</v>
      </c>
      <c r="D13" s="6" t="s">
        <v>40</v>
      </c>
      <c r="E13" s="6" t="s">
        <v>41</v>
      </c>
      <c r="F13" s="20">
        <v>5000</v>
      </c>
      <c r="G13" s="17">
        <v>1.85</v>
      </c>
      <c r="H13" s="7">
        <f>F13*G13</f>
      </c>
      <c r="I13" s="8">
        <v>46154</v>
      </c>
      <c r="J13" s="6" t="s">
        <v>131</v>
      </c>
    </row>
    <row r="14" spans="1:10" x14ac:dyDescent="0.25">
      <c r="A14" s="6" t="s">
        <v>162</v>
      </c>
      <c r="B14" s="8">
        <v>46144</v>
      </c>
      <c r="C14" s="6" t="s">
        <v>33</v>
      </c>
      <c r="D14" s="6" t="s">
        <v>45</v>
      </c>
      <c r="E14" s="6" t="s">
        <v>46</v>
      </c>
      <c r="F14" s="20">
        <v>700</v>
      </c>
      <c r="G14" s="17">
        <v>14.2</v>
      </c>
      <c r="H14" s="7">
        <f>F14*G14</f>
      </c>
      <c r="I14" s="8">
        <v>46164</v>
      </c>
      <c r="J14" s="6" t="s">
        <v>163</v>
      </c>
    </row>
    <row r="15" spans="1:8" x14ac:dyDescent="0.25">
      <c r="A15" s="21" t="s">
        <v>99</v>
      </c>
      <c r="H15" s="23">
        <f>SUM(H2:H14)</f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0" customWidth="1"/>
    <col min="4" max="4" width="12" style="18" customWidth="1"/>
    <col min="5" max="5" width="13" style="18" customWidth="1"/>
    <col min="6" max="6" width="12" style="24" customWidth="1"/>
    <col min="7" max="7" width="14" customWidth="1"/>
    <col min="8" max="9" width="12" style="2" customWidth="1"/>
    <col min="10" max="10" width="12" customWidth="1"/>
    <col min="11" max="11" width="12" style="1" customWidth="1"/>
    <col min="12" max="12" width="14" style="1" customWidth="1"/>
  </cols>
  <sheetData>
    <row r="1" ht="22" customHeight="1" spans="1:12" x14ac:dyDescent="0.25">
      <c r="A1" s="3" t="s">
        <v>164</v>
      </c>
      <c r="B1" s="3" t="s">
        <v>0</v>
      </c>
      <c r="C1" s="3" t="s">
        <v>1</v>
      </c>
      <c r="D1" s="19" t="s">
        <v>165</v>
      </c>
      <c r="E1" s="19" t="s">
        <v>166</v>
      </c>
      <c r="F1" s="25" t="s">
        <v>167</v>
      </c>
      <c r="G1" s="3" t="s">
        <v>168</v>
      </c>
      <c r="H1" s="5" t="s">
        <v>169</v>
      </c>
      <c r="I1" s="5" t="s">
        <v>112</v>
      </c>
      <c r="J1" s="3" t="s">
        <v>93</v>
      </c>
      <c r="K1" s="4" t="s">
        <v>4</v>
      </c>
      <c r="L1" s="4" t="s">
        <v>170</v>
      </c>
    </row>
    <row r="2" spans="1:12" x14ac:dyDescent="0.25">
      <c r="A2" s="6" t="s">
        <v>171</v>
      </c>
      <c r="B2" s="6" t="s">
        <v>10</v>
      </c>
      <c r="C2" s="6" t="s">
        <v>11</v>
      </c>
      <c r="D2" s="20">
        <v>30</v>
      </c>
      <c r="E2" s="20">
        <v>30</v>
      </c>
      <c r="F2" s="26">
        <f>IFERROR(E2/D2,0)</f>
      </c>
      <c r="G2" s="6" t="s">
        <v>172</v>
      </c>
      <c r="H2" s="8">
        <v>46106</v>
      </c>
      <c r="I2" s="8">
        <v>46120</v>
      </c>
      <c r="J2" s="6" t="s">
        <v>173</v>
      </c>
      <c r="K2" s="7">
        <v>412.5</v>
      </c>
      <c r="L2" s="7">
        <f>E2*K2</f>
      </c>
    </row>
    <row r="3" spans="1:12" x14ac:dyDescent="0.25">
      <c r="A3" s="6" t="s">
        <v>174</v>
      </c>
      <c r="B3" s="6" t="s">
        <v>18</v>
      </c>
      <c r="C3" s="6" t="s">
        <v>19</v>
      </c>
      <c r="D3" s="20">
        <v>60</v>
      </c>
      <c r="E3" s="20">
        <v>60</v>
      </c>
      <c r="F3" s="26">
        <f>IFERROR(E3/D3,0)</f>
      </c>
      <c r="G3" s="6" t="s">
        <v>175</v>
      </c>
      <c r="H3" s="8">
        <v>46109</v>
      </c>
      <c r="I3" s="8">
        <v>46123</v>
      </c>
      <c r="J3" s="6" t="s">
        <v>173</v>
      </c>
      <c r="K3" s="7">
        <v>188.75</v>
      </c>
      <c r="L3" s="7">
        <f>E3*K3</f>
      </c>
    </row>
    <row r="4" spans="1:12" x14ac:dyDescent="0.25">
      <c r="A4" s="6" t="s">
        <v>176</v>
      </c>
      <c r="B4" s="6" t="s">
        <v>16</v>
      </c>
      <c r="C4" s="6" t="s">
        <v>17</v>
      </c>
      <c r="D4" s="20">
        <v>16</v>
      </c>
      <c r="E4" s="20">
        <v>12</v>
      </c>
      <c r="F4" s="26">
        <f>IFERROR(E4/D4,0)</f>
      </c>
      <c r="G4" s="6" t="s">
        <v>172</v>
      </c>
      <c r="H4" s="8">
        <v>46117</v>
      </c>
      <c r="I4" s="8">
        <v>46134</v>
      </c>
      <c r="J4" s="6" t="s">
        <v>177</v>
      </c>
      <c r="K4" s="7">
        <v>478.2</v>
      </c>
      <c r="L4" s="7">
        <f>E4*K4</f>
      </c>
    </row>
    <row r="5" spans="1:12" x14ac:dyDescent="0.25">
      <c r="A5" s="6" t="s">
        <v>178</v>
      </c>
      <c r="B5" s="6" t="s">
        <v>21</v>
      </c>
      <c r="C5" s="6" t="s">
        <v>22</v>
      </c>
      <c r="D5" s="20">
        <v>24</v>
      </c>
      <c r="E5" s="20">
        <v>18</v>
      </c>
      <c r="F5" s="26">
        <f>IFERROR(E5/D5,0)</f>
      </c>
      <c r="G5" s="6" t="s">
        <v>175</v>
      </c>
      <c r="H5" s="8">
        <v>46118</v>
      </c>
      <c r="I5" s="8">
        <v>46136</v>
      </c>
      <c r="J5" s="6" t="s">
        <v>177</v>
      </c>
      <c r="K5" s="7">
        <v>252.1</v>
      </c>
      <c r="L5" s="7">
        <f>E5*K5</f>
      </c>
    </row>
    <row r="6" spans="1:12" x14ac:dyDescent="0.25">
      <c r="A6" s="6" t="s">
        <v>179</v>
      </c>
      <c r="B6" s="6" t="s">
        <v>23</v>
      </c>
      <c r="C6" s="6" t="s">
        <v>24</v>
      </c>
      <c r="D6" s="20">
        <v>12</v>
      </c>
      <c r="E6" s="20">
        <v>0</v>
      </c>
      <c r="F6" s="26">
        <f>IFERROR(E6/D6,0)</f>
      </c>
      <c r="G6" s="6" t="s">
        <v>180</v>
      </c>
      <c r="H6" s="8">
        <v>46137</v>
      </c>
      <c r="I6" s="8">
        <v>46157</v>
      </c>
      <c r="J6" s="6" t="s">
        <v>181</v>
      </c>
      <c r="K6" s="7">
        <v>318.4</v>
      </c>
      <c r="L6" s="7">
        <f>E6*K6</f>
      </c>
    </row>
    <row r="7" spans="1:12" x14ac:dyDescent="0.25">
      <c r="A7" s="6" t="s">
        <v>182</v>
      </c>
      <c r="B7" s="6" t="s">
        <v>10</v>
      </c>
      <c r="C7" s="6" t="s">
        <v>11</v>
      </c>
      <c r="D7" s="20">
        <v>40</v>
      </c>
      <c r="E7" s="20">
        <v>0</v>
      </c>
      <c r="F7" s="26">
        <f>IFERROR(E7/D7,0)</f>
      </c>
      <c r="G7" s="6" t="s">
        <v>172</v>
      </c>
      <c r="H7" s="8">
        <v>46144</v>
      </c>
      <c r="I7" s="8">
        <v>46162</v>
      </c>
      <c r="J7" s="6" t="s">
        <v>181</v>
      </c>
      <c r="K7" s="7">
        <v>412.5</v>
      </c>
      <c r="L7" s="7">
        <f>E7*K7</f>
      </c>
    </row>
    <row r="8" spans="1:12" x14ac:dyDescent="0.25">
      <c r="A8" s="6" t="s">
        <v>183</v>
      </c>
      <c r="B8" s="6" t="s">
        <v>18</v>
      </c>
      <c r="C8" s="6" t="s">
        <v>19</v>
      </c>
      <c r="D8" s="20">
        <v>30</v>
      </c>
      <c r="E8" s="20">
        <v>0</v>
      </c>
      <c r="F8" s="26">
        <f>IFERROR(E8/D8,0)</f>
      </c>
      <c r="G8" s="6" t="s">
        <v>175</v>
      </c>
      <c r="H8" s="8">
        <v>46152</v>
      </c>
      <c r="I8" s="8">
        <v>46168</v>
      </c>
      <c r="J8" s="6" t="s">
        <v>181</v>
      </c>
      <c r="K8" s="7">
        <v>188.75</v>
      </c>
      <c r="L8" s="7">
        <f>E8*K8</f>
      </c>
    </row>
    <row r="9" spans="1:12" x14ac:dyDescent="0.25">
      <c r="A9" s="6" t="s">
        <v>184</v>
      </c>
      <c r="B9" s="6" t="s">
        <v>26</v>
      </c>
      <c r="C9" s="6" t="s">
        <v>27</v>
      </c>
      <c r="D9" s="20">
        <v>200</v>
      </c>
      <c r="E9" s="20">
        <v>200</v>
      </c>
      <c r="F9" s="26">
        <f>IFERROR(E9/D9,0)</f>
      </c>
      <c r="G9" s="6" t="s">
        <v>185</v>
      </c>
      <c r="H9" s="8">
        <v>46113</v>
      </c>
      <c r="I9" s="8">
        <v>46124</v>
      </c>
      <c r="J9" s="6" t="s">
        <v>173</v>
      </c>
      <c r="K9" s="7">
        <v>92.3</v>
      </c>
      <c r="L9" s="7">
        <f>E9*K9</f>
      </c>
    </row>
    <row r="10" spans="1:12" x14ac:dyDescent="0.25">
      <c r="A10" s="6" t="s">
        <v>186</v>
      </c>
      <c r="B10" s="6" t="s">
        <v>31</v>
      </c>
      <c r="C10" s="6" t="s">
        <v>32</v>
      </c>
      <c r="D10" s="20">
        <v>180</v>
      </c>
      <c r="E10" s="20">
        <v>120</v>
      </c>
      <c r="F10" s="26">
        <f>IFERROR(E10/D10,0)</f>
      </c>
      <c r="G10" s="6" t="s">
        <v>185</v>
      </c>
      <c r="H10" s="8">
        <v>46127</v>
      </c>
      <c r="I10" s="8">
        <v>46142</v>
      </c>
      <c r="J10" s="6" t="s">
        <v>177</v>
      </c>
      <c r="K10" s="7">
        <v>64.8</v>
      </c>
      <c r="L10" s="7">
        <f>E10*K10</f>
      </c>
    </row>
  </sheetData>
  <autoFilter ref="A1:L1"/>
  <conditionalFormatting sqref="F2:F10">
    <cfRule type="dataBar" priority="1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{6DBAB89E-DD15-4659-AD85-B9F9DC3599BA}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BAB89E-DD15-4659-AD85-B9F9DC3599BA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F2:F10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6" customWidth="1"/>
    <col min="4" max="4" width="16" style="1" customWidth="1"/>
    <col min="5" max="6" width="14" style="1" customWidth="1"/>
    <col min="7" max="7" width="16" style="1" customWidth="1"/>
  </cols>
  <sheetData>
    <row r="1" ht="22" customHeight="1" spans="1:7" x14ac:dyDescent="0.25">
      <c r="A1" s="3" t="s">
        <v>187</v>
      </c>
      <c r="B1" s="3" t="s">
        <v>188</v>
      </c>
      <c r="C1" s="3" t="s">
        <v>2</v>
      </c>
      <c r="D1" s="4" t="s">
        <v>189</v>
      </c>
      <c r="E1" s="4" t="s">
        <v>190</v>
      </c>
      <c r="F1" s="4" t="s">
        <v>191</v>
      </c>
      <c r="G1" s="4" t="s">
        <v>192</v>
      </c>
    </row>
    <row r="2" spans="1:7" x14ac:dyDescent="0.25">
      <c r="A2" s="6" t="s">
        <v>193</v>
      </c>
      <c r="B2" s="6" t="s">
        <v>194</v>
      </c>
      <c r="C2" s="6" t="s">
        <v>195</v>
      </c>
      <c r="D2" s="7">
        <v>84200</v>
      </c>
      <c r="E2" s="7">
        <v>412800</v>
      </c>
      <c r="F2" s="7">
        <v>358900</v>
      </c>
      <c r="G2" s="7">
        <f>D2+E2-F2</f>
      </c>
    </row>
    <row r="3" spans="1:7" x14ac:dyDescent="0.25">
      <c r="A3" s="6" t="s">
        <v>196</v>
      </c>
      <c r="B3" s="6" t="s">
        <v>197</v>
      </c>
      <c r="C3" s="6" t="s">
        <v>195</v>
      </c>
      <c r="D3" s="7">
        <v>312500</v>
      </c>
      <c r="E3" s="7">
        <v>1248000</v>
      </c>
      <c r="F3" s="7">
        <v>1192800</v>
      </c>
      <c r="G3" s="7">
        <f>D3+E3-F3</f>
      </c>
    </row>
    <row r="4" spans="1:7" x14ac:dyDescent="0.25">
      <c r="A4" s="6" t="s">
        <v>198</v>
      </c>
      <c r="B4" s="6" t="s">
        <v>199</v>
      </c>
      <c r="C4" s="6" t="s">
        <v>195</v>
      </c>
      <c r="D4" s="7">
        <v>218400</v>
      </c>
      <c r="E4" s="7">
        <v>624900</v>
      </c>
      <c r="F4" s="7">
        <v>561200</v>
      </c>
      <c r="G4" s="7">
        <f>D4+E4-F4</f>
      </c>
    </row>
    <row r="5" spans="1:7" x14ac:dyDescent="0.25">
      <c r="A5" s="6" t="s">
        <v>200</v>
      </c>
      <c r="B5" s="6" t="s">
        <v>201</v>
      </c>
      <c r="C5" s="6" t="s">
        <v>195</v>
      </c>
      <c r="D5" s="7">
        <v>198600</v>
      </c>
      <c r="E5" s="7">
        <v>286400</v>
      </c>
      <c r="F5" s="7">
        <v>232100</v>
      </c>
      <c r="G5" s="7">
        <f>D5+E5-F5</f>
      </c>
    </row>
    <row r="6" spans="1:7" x14ac:dyDescent="0.25">
      <c r="A6" s="6" t="s">
        <v>202</v>
      </c>
      <c r="B6" s="6" t="s">
        <v>203</v>
      </c>
      <c r="C6" s="6" t="s">
        <v>195</v>
      </c>
      <c r="D6" s="7">
        <v>64200</v>
      </c>
      <c r="E6" s="7">
        <v>142800</v>
      </c>
      <c r="F6" s="7">
        <v>121500</v>
      </c>
      <c r="G6" s="7">
        <f>D6+E6-F6</f>
      </c>
    </row>
    <row r="7" spans="1:7" x14ac:dyDescent="0.25">
      <c r="A7" s="6" t="s">
        <v>204</v>
      </c>
      <c r="B7" s="6" t="s">
        <v>205</v>
      </c>
      <c r="C7" s="6" t="s">
        <v>195</v>
      </c>
      <c r="D7" s="7">
        <v>312800</v>
      </c>
      <c r="E7" s="7">
        <v>421500</v>
      </c>
      <c r="F7" s="7">
        <v>384200</v>
      </c>
      <c r="G7" s="7">
        <f>D7+E7-F7</f>
      </c>
    </row>
    <row r="8" spans="1:7" x14ac:dyDescent="0.25">
      <c r="A8" s="6" t="s">
        <v>206</v>
      </c>
      <c r="B8" s="6" t="s">
        <v>207</v>
      </c>
      <c r="C8" s="6" t="s">
        <v>195</v>
      </c>
      <c r="D8" s="7">
        <v>1820000</v>
      </c>
      <c r="E8" s="7">
        <v>28000</v>
      </c>
      <c r="F8" s="7">
        <v>0</v>
      </c>
      <c r="G8" s="7">
        <f>D8+E8-F8</f>
      </c>
    </row>
    <row r="9" spans="1:7" x14ac:dyDescent="0.25">
      <c r="A9" s="6" t="s">
        <v>208</v>
      </c>
      <c r="B9" s="6" t="s">
        <v>209</v>
      </c>
      <c r="C9" s="6" t="s">
        <v>195</v>
      </c>
      <c r="D9" s="7">
        <v>-612000</v>
      </c>
      <c r="E9" s="7">
        <v>0</v>
      </c>
      <c r="F9" s="7">
        <v>24300</v>
      </c>
      <c r="G9" s="7">
        <f>D9+E9-F9</f>
      </c>
    </row>
    <row r="10" spans="1:7" x14ac:dyDescent="0.25">
      <c r="A10" s="6" t="s">
        <v>210</v>
      </c>
      <c r="B10" s="6" t="s">
        <v>211</v>
      </c>
      <c r="C10" s="6" t="s">
        <v>212</v>
      </c>
      <c r="D10" s="7">
        <v>-184300</v>
      </c>
      <c r="E10" s="7">
        <v>218600</v>
      </c>
      <c r="F10" s="7">
        <v>296400</v>
      </c>
      <c r="G10" s="7">
        <f>D10+E10-F10</f>
      </c>
    </row>
    <row r="11" spans="1:7" x14ac:dyDescent="0.25">
      <c r="A11" s="6" t="s">
        <v>213</v>
      </c>
      <c r="B11" s="6" t="s">
        <v>214</v>
      </c>
      <c r="C11" s="6" t="s">
        <v>212</v>
      </c>
      <c r="D11" s="7">
        <v>-28400</v>
      </c>
      <c r="E11" s="7">
        <v>32100</v>
      </c>
      <c r="F11" s="7">
        <v>64200</v>
      </c>
      <c r="G11" s="7">
        <f>D11+E11-F11</f>
      </c>
    </row>
    <row r="12" spans="1:7" x14ac:dyDescent="0.25">
      <c r="A12" s="6" t="s">
        <v>215</v>
      </c>
      <c r="B12" s="6" t="s">
        <v>216</v>
      </c>
      <c r="C12" s="6" t="s">
        <v>212</v>
      </c>
      <c r="D12" s="7">
        <v>-42600</v>
      </c>
      <c r="E12" s="7">
        <v>184200</v>
      </c>
      <c r="F12" s="7">
        <v>192800</v>
      </c>
      <c r="G12" s="7">
        <f>D12+E12-F12</f>
      </c>
    </row>
    <row r="13" spans="1:7" x14ac:dyDescent="0.25">
      <c r="A13" s="6" t="s">
        <v>217</v>
      </c>
      <c r="B13" s="6" t="s">
        <v>218</v>
      </c>
      <c r="C13" s="6" t="s">
        <v>212</v>
      </c>
      <c r="D13" s="7">
        <v>-480000</v>
      </c>
      <c r="E13" s="7">
        <v>12000</v>
      </c>
      <c r="F13" s="7">
        <v>0</v>
      </c>
      <c r="G13" s="7">
        <f>D13+E13-F13</f>
      </c>
    </row>
    <row r="14" spans="1:7" x14ac:dyDescent="0.25">
      <c r="A14" s="6" t="s">
        <v>219</v>
      </c>
      <c r="B14" s="6" t="s">
        <v>220</v>
      </c>
      <c r="C14" s="6" t="s">
        <v>221</v>
      </c>
      <c r="D14" s="7">
        <v>-500000</v>
      </c>
      <c r="E14" s="7">
        <v>0</v>
      </c>
      <c r="F14" s="7">
        <v>0</v>
      </c>
      <c r="G14" s="7">
        <f>D14+E14-F14</f>
      </c>
    </row>
    <row r="15" spans="1:7" x14ac:dyDescent="0.25">
      <c r="A15" s="6" t="s">
        <v>222</v>
      </c>
      <c r="B15" s="6" t="s">
        <v>223</v>
      </c>
      <c r="C15" s="6" t="s">
        <v>221</v>
      </c>
      <c r="D15" s="7">
        <v>-812400</v>
      </c>
      <c r="E15" s="7">
        <v>0</v>
      </c>
      <c r="F15" s="7">
        <v>0</v>
      </c>
      <c r="G15" s="7">
        <f>D15+E15-F15</f>
      </c>
    </row>
    <row r="16" spans="1:7" x14ac:dyDescent="0.25">
      <c r="A16" s="6" t="s">
        <v>224</v>
      </c>
      <c r="B16" s="6" t="s">
        <v>225</v>
      </c>
      <c r="C16" s="6" t="s">
        <v>226</v>
      </c>
      <c r="D16" s="7">
        <v>0</v>
      </c>
      <c r="E16" s="7">
        <v>0</v>
      </c>
      <c r="F16" s="7">
        <v>412800</v>
      </c>
      <c r="G16" s="7">
        <f>D16+E16-F16</f>
      </c>
    </row>
    <row r="17" spans="1:7" x14ac:dyDescent="0.25">
      <c r="A17" s="6" t="s">
        <v>227</v>
      </c>
      <c r="B17" s="6" t="s">
        <v>228</v>
      </c>
      <c r="C17" s="6" t="s">
        <v>226</v>
      </c>
      <c r="D17" s="7">
        <v>0</v>
      </c>
      <c r="E17" s="7">
        <v>0</v>
      </c>
      <c r="F17" s="7">
        <v>318600</v>
      </c>
      <c r="G17" s="7">
        <f>D17+E17-F17</f>
      </c>
    </row>
    <row r="18" spans="1:7" x14ac:dyDescent="0.25">
      <c r="A18" s="6" t="s">
        <v>229</v>
      </c>
      <c r="B18" s="6" t="s">
        <v>230</v>
      </c>
      <c r="C18" s="6" t="s">
        <v>226</v>
      </c>
      <c r="D18" s="7">
        <v>0</v>
      </c>
      <c r="E18" s="7">
        <v>0</v>
      </c>
      <c r="F18" s="7">
        <v>84200</v>
      </c>
      <c r="G18" s="7">
        <f>D18+E18-F18</f>
      </c>
    </row>
    <row r="19" spans="1:7" x14ac:dyDescent="0.25">
      <c r="A19" s="6" t="s">
        <v>231</v>
      </c>
      <c r="B19" s="6" t="s">
        <v>232</v>
      </c>
      <c r="C19" s="6" t="s">
        <v>226</v>
      </c>
      <c r="D19" s="7">
        <v>0</v>
      </c>
      <c r="E19" s="7">
        <v>28600</v>
      </c>
      <c r="F19" s="7">
        <v>0</v>
      </c>
      <c r="G19" s="7">
        <f>D19+E19-F19</f>
      </c>
    </row>
    <row r="20" spans="1:7" x14ac:dyDescent="0.25">
      <c r="A20" s="6" t="s">
        <v>233</v>
      </c>
      <c r="B20" s="6" t="s">
        <v>234</v>
      </c>
      <c r="C20" s="6" t="s">
        <v>235</v>
      </c>
      <c r="D20" s="7">
        <v>0</v>
      </c>
      <c r="E20" s="7">
        <v>312400</v>
      </c>
      <c r="F20" s="7">
        <v>0</v>
      </c>
      <c r="G20" s="7">
        <f>D20+E20-F20</f>
      </c>
    </row>
    <row r="21" spans="1:7" x14ac:dyDescent="0.25">
      <c r="A21" s="6" t="s">
        <v>236</v>
      </c>
      <c r="B21" s="6" t="s">
        <v>237</v>
      </c>
      <c r="C21" s="6" t="s">
        <v>235</v>
      </c>
      <c r="D21" s="7">
        <v>0</v>
      </c>
      <c r="E21" s="7">
        <v>118600</v>
      </c>
      <c r="F21" s="7">
        <v>0</v>
      </c>
      <c r="G21" s="7">
        <f>D21+E21-F21</f>
      </c>
    </row>
    <row r="22" spans="1:7" x14ac:dyDescent="0.25">
      <c r="A22" s="6" t="s">
        <v>238</v>
      </c>
      <c r="B22" s="6" t="s">
        <v>239</v>
      </c>
      <c r="C22" s="6" t="s">
        <v>235</v>
      </c>
      <c r="D22" s="7">
        <v>0</v>
      </c>
      <c r="E22" s="7">
        <v>74200</v>
      </c>
      <c r="F22" s="7">
        <v>0</v>
      </c>
      <c r="G22" s="7">
        <f>D22+E22-F22</f>
      </c>
    </row>
    <row r="23" spans="1:7" x14ac:dyDescent="0.25">
      <c r="A23" s="6" t="s">
        <v>240</v>
      </c>
      <c r="B23" s="6" t="s">
        <v>241</v>
      </c>
      <c r="C23" s="6" t="s">
        <v>235</v>
      </c>
      <c r="D23" s="7">
        <v>0</v>
      </c>
      <c r="E23" s="7">
        <v>142800</v>
      </c>
      <c r="F23" s="7">
        <v>0</v>
      </c>
      <c r="G23" s="7">
        <f>D23+E23-F23</f>
      </c>
    </row>
    <row r="24" spans="1:7" x14ac:dyDescent="0.25">
      <c r="A24" s="6" t="s">
        <v>242</v>
      </c>
      <c r="B24" s="6" t="s">
        <v>243</v>
      </c>
      <c r="C24" s="6" t="s">
        <v>235</v>
      </c>
      <c r="D24" s="7">
        <v>0</v>
      </c>
      <c r="E24" s="7">
        <v>38400</v>
      </c>
      <c r="F24" s="7">
        <v>0</v>
      </c>
      <c r="G24" s="7">
        <f>D24+E24-F24</f>
      </c>
    </row>
    <row r="25" spans="1:7" x14ac:dyDescent="0.25">
      <c r="A25" s="6" t="s">
        <v>244</v>
      </c>
      <c r="B25" s="6" t="s">
        <v>245</v>
      </c>
      <c r="C25" s="6" t="s">
        <v>235</v>
      </c>
      <c r="D25" s="7">
        <v>0</v>
      </c>
      <c r="E25" s="7">
        <v>24300</v>
      </c>
      <c r="F25" s="7">
        <v>0</v>
      </c>
      <c r="G25" s="7">
        <f>D25+E25-F25</f>
      </c>
    </row>
    <row r="26" spans="1:7" x14ac:dyDescent="0.25">
      <c r="A26" s="6" t="s">
        <v>246</v>
      </c>
      <c r="B26" s="6" t="s">
        <v>247</v>
      </c>
      <c r="C26" s="6" t="s">
        <v>235</v>
      </c>
      <c r="D26" s="7">
        <v>0</v>
      </c>
      <c r="E26" s="7">
        <v>28600</v>
      </c>
      <c r="F26" s="7">
        <v>0</v>
      </c>
      <c r="G26" s="7">
        <f>D26+E26-F26</f>
      </c>
    </row>
    <row r="27" spans="1:7" x14ac:dyDescent="0.25">
      <c r="A27" s="6" t="s">
        <v>248</v>
      </c>
      <c r="B27" s="6" t="s">
        <v>249</v>
      </c>
      <c r="C27" s="6" t="s">
        <v>235</v>
      </c>
      <c r="D27" s="7">
        <v>0</v>
      </c>
      <c r="E27" s="7">
        <v>12400</v>
      </c>
      <c r="F27" s="7">
        <v>0</v>
      </c>
      <c r="G27" s="7">
        <f>D27+E27-F27</f>
      </c>
    </row>
    <row r="28" spans="1:7" x14ac:dyDescent="0.25">
      <c r="A28" s="6" t="s">
        <v>250</v>
      </c>
      <c r="B28" s="6" t="s">
        <v>251</v>
      </c>
      <c r="C28" s="6" t="s">
        <v>235</v>
      </c>
      <c r="D28" s="7">
        <v>0</v>
      </c>
      <c r="E28" s="7">
        <v>18200</v>
      </c>
      <c r="F28" s="7">
        <v>0</v>
      </c>
      <c r="G28" s="7">
        <f>D28+E28-F28</f>
      </c>
    </row>
    <row r="29" spans="1:7" x14ac:dyDescent="0.25">
      <c r="A29" s="6" t="s">
        <v>252</v>
      </c>
      <c r="B29" s="6" t="s">
        <v>253</v>
      </c>
      <c r="C29" s="6" t="s">
        <v>235</v>
      </c>
      <c r="D29" s="7">
        <v>0</v>
      </c>
      <c r="E29" s="7">
        <v>9800</v>
      </c>
      <c r="F29" s="7">
        <v>0</v>
      </c>
      <c r="G29" s="7">
        <f>D29+E29-F29</f>
      </c>
    </row>
    <row r="30" spans="1:7" x14ac:dyDescent="0.25">
      <c r="A30" s="6" t="s">
        <v>254</v>
      </c>
      <c r="B30" s="6" t="s">
        <v>255</v>
      </c>
      <c r="C30" s="6" t="s">
        <v>235</v>
      </c>
      <c r="D30" s="7">
        <v>0</v>
      </c>
      <c r="E30" s="7">
        <v>6400</v>
      </c>
      <c r="F30" s="7">
        <v>0</v>
      </c>
      <c r="G30" s="7">
        <f>D30+E30-F30</f>
      </c>
    </row>
    <row r="31" spans="1:7" x14ac:dyDescent="0.25">
      <c r="A31" s="6" t="s">
        <v>256</v>
      </c>
      <c r="B31" s="6" t="s">
        <v>257</v>
      </c>
      <c r="C31" s="6" t="s">
        <v>235</v>
      </c>
      <c r="D31" s="7">
        <v>0</v>
      </c>
      <c r="E31" s="7">
        <v>32100</v>
      </c>
      <c r="F31" s="7">
        <v>0</v>
      </c>
      <c r="G31" s="7">
        <f>D31+E31-F31</f>
      </c>
    </row>
    <row r="32" spans="1:7" x14ac:dyDescent="0.25">
      <c r="A32" s="21" t="s">
        <v>99</v>
      </c>
      <c r="D32" s="23">
        <f>SUM(D2:D31)</f>
      </c>
      <c r="E32" s="23">
        <f>SUM(E2:E31)</f>
      </c>
      <c r="F32" s="23">
        <f>SUM(F2:F31)</f>
      </c>
      <c r="G32" s="23">
        <f>SUM(G2:G31)</f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44" customWidth="1"/>
    <col min="2" max="2" width="18" style="1" customWidth="1"/>
    <col min="3" max="3" width="14" style="24" customWidth="1"/>
  </cols>
  <sheetData>
    <row r="1" ht="22" customHeight="1" spans="1:3" x14ac:dyDescent="0.25">
      <c r="A1" s="3" t="s">
        <v>258</v>
      </c>
      <c r="B1" s="4" t="s">
        <v>259</v>
      </c>
      <c r="C1" s="25" t="s">
        <v>260</v>
      </c>
    </row>
    <row r="2" spans="1:1" x14ac:dyDescent="0.25">
      <c r="A2" s="27" t="s">
        <v>226</v>
      </c>
    </row>
    <row r="3" spans="1:3" x14ac:dyDescent="0.25">
      <c r="A3" t="s">
        <v>261</v>
      </c>
      <c r="B3" s="1">
        <f>-VLOOKUP("4010",'Trial Balance'!A:G,7,FALSE)</f>
      </c>
      <c r="C3" s="24">
        <f>IFERROR(B3/$B$7,0)</f>
      </c>
    </row>
    <row r="4" spans="1:3" x14ac:dyDescent="0.25">
      <c r="A4" t="s">
        <v>262</v>
      </c>
      <c r="B4" s="1">
        <f>-VLOOKUP("4020",'Trial Balance'!A:G,7,FALSE)</f>
      </c>
      <c r="C4" s="24">
        <f>IFERROR(B4/$B$7,0)</f>
      </c>
    </row>
    <row r="5" spans="1:3" x14ac:dyDescent="0.25">
      <c r="A5" t="s">
        <v>263</v>
      </c>
      <c r="B5" s="1">
        <f>-VLOOKUP("4030",'Trial Balance'!A:G,7,FALSE)</f>
      </c>
      <c r="C5" s="24">
        <f>IFERROR(B5/$B$7,0)</f>
      </c>
    </row>
    <row r="6" spans="1:3" x14ac:dyDescent="0.25">
      <c r="A6" t="s">
        <v>264</v>
      </c>
      <c r="B6" s="1">
        <f>-VLOOKUP("4910",'Trial Balance'!A:G,7,FALSE)</f>
      </c>
      <c r="C6" s="24">
        <f>IFERROR(B6/$B$7,0)</f>
      </c>
    </row>
    <row r="7" spans="1:3" x14ac:dyDescent="0.25">
      <c r="A7" s="28" t="s">
        <v>265</v>
      </c>
      <c r="B7" s="29">
        <f>SUM(B3:B6)</f>
      </c>
      <c r="C7" s="24">
        <f>IFERROR(B7/$B$7,0)</f>
      </c>
    </row>
    <row r="8" spans="1:1" x14ac:dyDescent="0.25">
      <c r="A8" t="s">
        <v>100</v>
      </c>
    </row>
    <row r="9" spans="1:1" x14ac:dyDescent="0.25">
      <c r="A9" s="27" t="s">
        <v>266</v>
      </c>
    </row>
    <row r="10" spans="1:3" x14ac:dyDescent="0.25">
      <c r="A10" t="s">
        <v>267</v>
      </c>
      <c r="B10" s="1">
        <f>VLOOKUP("5010",'Trial Balance'!A:G,7,FALSE)</f>
      </c>
      <c r="C10" s="24">
        <f>IFERROR(B10/$B$7,0)</f>
      </c>
    </row>
    <row r="11" spans="1:3" x14ac:dyDescent="0.25">
      <c r="A11" t="s">
        <v>268</v>
      </c>
      <c r="B11" s="1">
        <f>VLOOKUP("5020",'Trial Balance'!A:G,7,FALSE)</f>
      </c>
      <c r="C11" s="24">
        <f>IFERROR(B11/$B$7,0)</f>
      </c>
    </row>
    <row r="12" spans="1:3" x14ac:dyDescent="0.25">
      <c r="A12" t="s">
        <v>269</v>
      </c>
      <c r="B12" s="1">
        <f>VLOOKUP("5030",'Trial Balance'!A:G,7,FALSE)</f>
      </c>
      <c r="C12" s="24">
        <f>IFERROR(B12/$B$7,0)</f>
      </c>
    </row>
    <row r="13" spans="1:3" x14ac:dyDescent="0.25">
      <c r="A13" s="28" t="s">
        <v>270</v>
      </c>
      <c r="B13" s="29">
        <f>SUM(B10:B12)</f>
      </c>
      <c r="C13" s="24">
        <f>IFERROR(B13/$B$7,0)</f>
      </c>
    </row>
    <row r="14" spans="1:1" x14ac:dyDescent="0.25">
      <c r="A14" t="s">
        <v>100</v>
      </c>
    </row>
    <row r="15" spans="1:3" x14ac:dyDescent="0.25">
      <c r="A15" s="28" t="s">
        <v>271</v>
      </c>
      <c r="B15" s="29">
        <f>B7-B13</f>
      </c>
      <c r="C15" s="24">
        <f>IFERROR(B15/$B$7,0)</f>
      </c>
    </row>
    <row r="16" spans="1:2" x14ac:dyDescent="0.25">
      <c r="A16" t="s">
        <v>272</v>
      </c>
      <c r="B16" s="24">
        <f>B15/B7</f>
      </c>
    </row>
    <row r="17" spans="1:1" x14ac:dyDescent="0.25">
      <c r="A17" t="s">
        <v>100</v>
      </c>
    </row>
    <row r="18" spans="1:1" x14ac:dyDescent="0.25">
      <c r="A18" s="27" t="s">
        <v>273</v>
      </c>
    </row>
    <row r="19" spans="1:3" x14ac:dyDescent="0.25">
      <c r="A19" t="s">
        <v>274</v>
      </c>
      <c r="B19" s="1">
        <f>VLOOKUP("6010",'Trial Balance'!A:G,7,FALSE)</f>
      </c>
      <c r="C19" s="24">
        <f>IFERROR(B19/$B$7,0)</f>
      </c>
    </row>
    <row r="20" spans="1:3" x14ac:dyDescent="0.25">
      <c r="A20" t="s">
        <v>275</v>
      </c>
      <c r="B20" s="1">
        <f>VLOOKUP("6020",'Trial Balance'!A:G,7,FALSE)</f>
      </c>
      <c r="C20" s="24">
        <f>IFERROR(B20/$B$7,0)</f>
      </c>
    </row>
    <row r="21" spans="1:3" x14ac:dyDescent="0.25">
      <c r="A21" t="s">
        <v>276</v>
      </c>
      <c r="B21" s="1">
        <f>VLOOKUP("6030",'Trial Balance'!A:G,7,FALSE)</f>
      </c>
      <c r="C21" s="24">
        <f>IFERROR(B21/$B$7,0)</f>
      </c>
    </row>
    <row r="22" spans="1:3" x14ac:dyDescent="0.25">
      <c r="A22" t="s">
        <v>277</v>
      </c>
      <c r="B22" s="1">
        <f>VLOOKUP("6040",'Trial Balance'!A:G,7,FALSE)</f>
      </c>
      <c r="C22" s="24">
        <f>IFERROR(B22/$B$7,0)</f>
      </c>
    </row>
    <row r="23" spans="1:3" x14ac:dyDescent="0.25">
      <c r="A23" t="s">
        <v>278</v>
      </c>
      <c r="B23" s="1">
        <f>VLOOKUP("6050",'Trial Balance'!A:G,7,FALSE)</f>
      </c>
      <c r="C23" s="24">
        <f>IFERROR(B23/$B$7,0)</f>
      </c>
    </row>
    <row r="24" spans="1:3" x14ac:dyDescent="0.25">
      <c r="A24" t="s">
        <v>279</v>
      </c>
      <c r="B24" s="1">
        <f>VLOOKUP("6060",'Trial Balance'!A:G,7,FALSE)</f>
      </c>
      <c r="C24" s="24">
        <f>IFERROR(B24/$B$7,0)</f>
      </c>
    </row>
    <row r="25" spans="1:3" x14ac:dyDescent="0.25">
      <c r="A25" t="s">
        <v>280</v>
      </c>
      <c r="B25" s="1">
        <f>VLOOKUP("6090",'Trial Balance'!A:G,7,FALSE)</f>
      </c>
      <c r="C25" s="24">
        <f>IFERROR(B25/$B$7,0)</f>
      </c>
    </row>
    <row r="26" spans="1:3" x14ac:dyDescent="0.25">
      <c r="A26" s="28" t="s">
        <v>281</v>
      </c>
      <c r="B26" s="29">
        <f>SUM(B19:B25)</f>
      </c>
      <c r="C26" s="24">
        <f>IFERROR(B26/$B$7,0)</f>
      </c>
    </row>
    <row r="27" spans="1:1" x14ac:dyDescent="0.25">
      <c r="A27" t="s">
        <v>100</v>
      </c>
    </row>
    <row r="28" spans="1:3" x14ac:dyDescent="0.25">
      <c r="A28" s="28" t="s">
        <v>282</v>
      </c>
      <c r="B28" s="29">
        <f>B15-B26</f>
      </c>
      <c r="C28" s="24">
        <f>IFERROR(B28/$B$7,0)</f>
      </c>
    </row>
    <row r="29" spans="1:2" x14ac:dyDescent="0.25">
      <c r="A29" t="s">
        <v>283</v>
      </c>
      <c r="B29" s="24">
        <f>B28/B7</f>
      </c>
    </row>
    <row r="30" spans="1:1" x14ac:dyDescent="0.25">
      <c r="A30" t="s">
        <v>100</v>
      </c>
    </row>
    <row r="31" spans="1:3" x14ac:dyDescent="0.25">
      <c r="A31" t="s">
        <v>255</v>
      </c>
      <c r="B31" s="1">
        <f>VLOOKUP("7010",'Trial Balance'!A:G,7,FALSE)</f>
      </c>
      <c r="C31" s="24">
        <f>IFERROR(B31/$B$7,0)</f>
      </c>
    </row>
    <row r="32" spans="1:3" x14ac:dyDescent="0.25">
      <c r="A32" s="28" t="s">
        <v>284</v>
      </c>
      <c r="B32" s="29">
        <f>B28-B31</f>
      </c>
      <c r="C32" s="24">
        <f>IFERROR(B32/$B$7,0)</f>
      </c>
    </row>
    <row r="33" spans="1:3" x14ac:dyDescent="0.25">
      <c r="A33" t="s">
        <v>257</v>
      </c>
      <c r="B33" s="1">
        <f>VLOOKUP("7020",'Trial Balance'!A:G,7,FALSE)</f>
      </c>
      <c r="C33" s="24">
        <f>IFERROR(B33/$B$7,0)</f>
      </c>
    </row>
    <row r="34" spans="1:3" x14ac:dyDescent="0.25">
      <c r="A34" s="28" t="s">
        <v>285</v>
      </c>
      <c r="B34" s="29">
        <f>B32-B33</f>
      </c>
      <c r="C34" s="24">
        <f>IFERROR(B34/$B$7,0)</f>
      </c>
    </row>
    <row r="35" spans="1:2" x14ac:dyDescent="0.25">
      <c r="A35" t="s">
        <v>286</v>
      </c>
      <c r="B35" s="24">
        <f>B34/B7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4" width="13" style="2" customWidth="1"/>
    <col min="5" max="5" width="14" style="1" customWidth="1"/>
    <col min="6" max="6" width="14" customWidth="1"/>
    <col min="7" max="10" width="12" style="1" customWidth="1"/>
  </cols>
  <sheetData>
    <row r="1" ht="22" customHeight="1" spans="1:10" x14ac:dyDescent="0.25">
      <c r="A1" s="3" t="s">
        <v>103</v>
      </c>
      <c r="B1" s="3" t="s">
        <v>287</v>
      </c>
      <c r="C1" s="5" t="s">
        <v>288</v>
      </c>
      <c r="D1" s="5" t="s">
        <v>112</v>
      </c>
      <c r="E1" s="4" t="s">
        <v>289</v>
      </c>
      <c r="F1" s="3" t="s">
        <v>290</v>
      </c>
      <c r="G1" s="4" t="s">
        <v>291</v>
      </c>
      <c r="H1" s="4" t="s">
        <v>292</v>
      </c>
      <c r="I1" s="4" t="s">
        <v>293</v>
      </c>
      <c r="J1" s="4" t="s">
        <v>294</v>
      </c>
    </row>
    <row r="2" spans="1:10" x14ac:dyDescent="0.25">
      <c r="A2" s="6" t="s">
        <v>114</v>
      </c>
      <c r="B2" s="6" t="s">
        <v>295</v>
      </c>
      <c r="C2" s="8">
        <v>46093</v>
      </c>
      <c r="D2" s="8">
        <v>46123</v>
      </c>
      <c r="E2" s="7">
        <v>18420.5</v>
      </c>
      <c r="F2" s="6">
        <f>MAX(0,DATE(2026,5,14)-D2)</f>
      </c>
      <c r="G2" s="7">
        <f>IF(F2&lt;=30,E2,0)</f>
      </c>
      <c r="H2" s="7">
        <f>IF(AND(F2&gt;30,F2&lt;=60),E2,0)</f>
      </c>
      <c r="I2" s="7">
        <f>IF(AND(F2&gt;60,F2&lt;=90),E2,0)</f>
      </c>
      <c r="J2" s="7">
        <f>IF(F2&gt;90,E2,0)</f>
      </c>
    </row>
    <row r="3" spans="1:10" x14ac:dyDescent="0.25">
      <c r="A3" s="6" t="s">
        <v>114</v>
      </c>
      <c r="B3" s="6" t="s">
        <v>296</v>
      </c>
      <c r="C3" s="8">
        <v>46109</v>
      </c>
      <c r="D3" s="8">
        <v>46139</v>
      </c>
      <c r="E3" s="7">
        <v>9840</v>
      </c>
      <c r="F3" s="6">
        <f>MAX(0,DATE(2026,5,14)-D3)</f>
      </c>
      <c r="G3" s="7">
        <f>IF(F3&lt;=30,E3,0)</f>
      </c>
      <c r="H3" s="7">
        <f>IF(AND(F3&gt;30,F3&lt;=60),E3,0)</f>
      </c>
      <c r="I3" s="7">
        <f>IF(AND(F3&gt;60,F3&lt;=90),E3,0)</f>
      </c>
      <c r="J3" s="7">
        <f>IF(F3&gt;90,E3,0)</f>
      </c>
    </row>
    <row r="4" spans="1:10" x14ac:dyDescent="0.25">
      <c r="A4" s="6" t="s">
        <v>119</v>
      </c>
      <c r="B4" s="6" t="s">
        <v>297</v>
      </c>
      <c r="C4" s="8">
        <v>46114</v>
      </c>
      <c r="D4" s="8">
        <v>46144</v>
      </c>
      <c r="E4" s="7">
        <v>24600</v>
      </c>
      <c r="F4" s="6">
        <f>MAX(0,DATE(2026,5,14)-D4)</f>
      </c>
      <c r="G4" s="7">
        <f>IF(F4&lt;=30,E4,0)</f>
      </c>
      <c r="H4" s="7">
        <f>IF(AND(F4&gt;30,F4&lt;=60),E4,0)</f>
      </c>
      <c r="I4" s="7">
        <f>IF(AND(F4&gt;60,F4&lt;=90),E4,0)</f>
      </c>
      <c r="J4" s="7">
        <f>IF(F4&gt;90,E4,0)</f>
      </c>
    </row>
    <row r="5" spans="1:10" x14ac:dyDescent="0.25">
      <c r="A5" s="6" t="s">
        <v>119</v>
      </c>
      <c r="B5" s="6" t="s">
        <v>298</v>
      </c>
      <c r="C5" s="8">
        <v>46126</v>
      </c>
      <c r="D5" s="8">
        <v>46156</v>
      </c>
      <c r="E5" s="7">
        <v>14820</v>
      </c>
      <c r="F5" s="6">
        <f>MAX(0,DATE(2026,5,14)-D5)</f>
      </c>
      <c r="G5" s="7">
        <f>IF(F5&lt;=30,E5,0)</f>
      </c>
      <c r="H5" s="7">
        <f>IF(AND(F5&gt;30,F5&lt;=60),E5,0)</f>
      </c>
      <c r="I5" s="7">
        <f>IF(AND(F5&gt;60,F5&lt;=90),E5,0)</f>
      </c>
      <c r="J5" s="7">
        <f>IF(F5&gt;90,E5,0)</f>
      </c>
    </row>
    <row r="6" spans="1:10" x14ac:dyDescent="0.25">
      <c r="A6" s="6" t="s">
        <v>123</v>
      </c>
      <c r="B6" s="6" t="s">
        <v>299</v>
      </c>
      <c r="C6" s="8">
        <v>46130</v>
      </c>
      <c r="D6" s="8">
        <v>46160</v>
      </c>
      <c r="E6" s="7">
        <v>12400</v>
      </c>
      <c r="F6" s="6">
        <f>MAX(0,DATE(2026,5,14)-D6)</f>
      </c>
      <c r="G6" s="7">
        <f>IF(F6&lt;=30,E6,0)</f>
      </c>
      <c r="H6" s="7">
        <f>IF(AND(F6&gt;30,F6&lt;=60),E6,0)</f>
      </c>
      <c r="I6" s="7">
        <f>IF(AND(F6&gt;60,F6&lt;=90),E6,0)</f>
      </c>
      <c r="J6" s="7">
        <f>IF(F6&gt;90,E6,0)</f>
      </c>
    </row>
    <row r="7" spans="1:10" x14ac:dyDescent="0.25">
      <c r="A7" s="6" t="s">
        <v>128</v>
      </c>
      <c r="B7" s="6" t="s">
        <v>300</v>
      </c>
      <c r="C7" s="8">
        <v>46133</v>
      </c>
      <c r="D7" s="8">
        <v>46163</v>
      </c>
      <c r="E7" s="7">
        <v>18600</v>
      </c>
      <c r="F7" s="6">
        <f>MAX(0,DATE(2026,5,14)-D7)</f>
      </c>
      <c r="G7" s="7">
        <f>IF(F7&lt;=30,E7,0)</f>
      </c>
      <c r="H7" s="7">
        <f>IF(AND(F7&gt;30,F7&lt;=60),E7,0)</f>
      </c>
      <c r="I7" s="7">
        <f>IF(AND(F7&gt;60,F7&lt;=90),E7,0)</f>
      </c>
      <c r="J7" s="7">
        <f>IF(F7&gt;90,E7,0)</f>
      </c>
    </row>
    <row r="8" spans="1:10" x14ac:dyDescent="0.25">
      <c r="A8" s="6" t="s">
        <v>133</v>
      </c>
      <c r="B8" s="6" t="s">
        <v>301</v>
      </c>
      <c r="C8" s="8">
        <v>46137</v>
      </c>
      <c r="D8" s="8">
        <v>46167</v>
      </c>
      <c r="E8" s="7">
        <v>22400</v>
      </c>
      <c r="F8" s="6">
        <f>MAX(0,DATE(2026,5,14)-D8)</f>
      </c>
      <c r="G8" s="7">
        <f>IF(F8&lt;=30,E8,0)</f>
      </c>
      <c r="H8" s="7">
        <f>IF(AND(F8&gt;30,F8&lt;=60),E8,0)</f>
      </c>
      <c r="I8" s="7">
        <f>IF(AND(F8&gt;60,F8&lt;=90),E8,0)</f>
      </c>
      <c r="J8" s="7">
        <f>IF(F8&gt;90,E8,0)</f>
      </c>
    </row>
    <row r="9" spans="1:10" x14ac:dyDescent="0.25">
      <c r="A9" s="6" t="s">
        <v>137</v>
      </c>
      <c r="B9" s="6" t="s">
        <v>302</v>
      </c>
      <c r="C9" s="8">
        <v>46042</v>
      </c>
      <c r="D9" s="8">
        <v>46072</v>
      </c>
      <c r="E9" s="7">
        <v>6800</v>
      </c>
      <c r="F9" s="6">
        <f>MAX(0,DATE(2026,5,14)-D9)</f>
      </c>
      <c r="G9" s="7">
        <f>IF(F9&lt;=30,E9,0)</f>
      </c>
      <c r="H9" s="7">
        <f>IF(AND(F9&gt;30,F9&lt;=60),E9,0)</f>
      </c>
      <c r="I9" s="7">
        <f>IF(AND(F9&gt;60,F9&lt;=90),E9,0)</f>
      </c>
      <c r="J9" s="7">
        <f>IF(F9&gt;90,E9,0)</f>
      </c>
    </row>
    <row r="10" spans="1:10" x14ac:dyDescent="0.25">
      <c r="A10" s="6" t="s">
        <v>137</v>
      </c>
      <c r="B10" s="6" t="s">
        <v>303</v>
      </c>
      <c r="C10" s="8">
        <v>46071</v>
      </c>
      <c r="D10" s="8">
        <v>46101</v>
      </c>
      <c r="E10" s="7">
        <v>9200</v>
      </c>
      <c r="F10" s="6">
        <f>MAX(0,DATE(2026,5,14)-D10)</f>
      </c>
      <c r="G10" s="7">
        <f>IF(F10&lt;=30,E10,0)</f>
      </c>
      <c r="H10" s="7">
        <f>IF(AND(F10&gt;30,F10&lt;=60),E10,0)</f>
      </c>
      <c r="I10" s="7">
        <f>IF(AND(F10&gt;60,F10&lt;=90),E10,0)</f>
      </c>
      <c r="J10" s="7">
        <f>IF(F10&gt;90,E10,0)</f>
      </c>
    </row>
    <row r="11" spans="1:10" x14ac:dyDescent="0.25">
      <c r="A11" s="6" t="s">
        <v>142</v>
      </c>
      <c r="B11" s="6" t="s">
        <v>304</v>
      </c>
      <c r="C11" s="8">
        <v>46144</v>
      </c>
      <c r="D11" s="8">
        <v>46174</v>
      </c>
      <c r="E11" s="7">
        <v>16400</v>
      </c>
      <c r="F11" s="6">
        <f>MAX(0,DATE(2026,5,14)-D11)</f>
      </c>
      <c r="G11" s="7">
        <f>IF(F11&lt;=30,E11,0)</f>
      </c>
      <c r="H11" s="7">
        <f>IF(AND(F11&gt;30,F11&lt;=60),E11,0)</f>
      </c>
      <c r="I11" s="7">
        <f>IF(AND(F11&gt;60,F11&lt;=90),E11,0)</f>
      </c>
      <c r="J11" s="7">
        <f>IF(F11&gt;90,E11,0)</f>
      </c>
    </row>
    <row r="12" spans="1:10" x14ac:dyDescent="0.25">
      <c r="A12" s="21" t="s">
        <v>99</v>
      </c>
      <c r="E12" s="23">
        <f>SUM(E2:E11)</f>
      </c>
      <c r="G12" s="23">
        <f>SUM(G2:G11)</f>
      </c>
      <c r="H12" s="23">
        <f>SUM(H2:H11)</f>
      </c>
      <c r="I12" s="23">
        <f>SUM(I2:I11)</f>
      </c>
      <c r="J12" s="23">
        <f>SUM(J2:J11)</f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FormatPr defaultRowHeight="15" outlineLevelRow="0" outlineLevelCol="0" x14ac:dyDescent="55"/>
  <cols>
    <col min="1" max="1" width="4" customWidth="1"/>
    <col min="2" max="2" width="38" customWidth="1"/>
    <col min="3" max="4" width="22" customWidth="1"/>
  </cols>
  <sheetData>
    <row r="2" ht="28" customHeight="1" spans="2:4" x14ac:dyDescent="0.25">
      <c r="B2" s="30" t="s">
        <v>305</v>
      </c>
      <c r="C2" s="30"/>
      <c r="D2" s="30"/>
    </row>
    <row r="3" spans="2:4" x14ac:dyDescent="0.25">
      <c r="B3" s="31" t="s">
        <v>306</v>
      </c>
      <c r="C3" s="31"/>
      <c r="D3" s="31"/>
    </row>
    <row r="5" ht="24" customHeight="1" spans="2:3" x14ac:dyDescent="0.25">
      <c r="B5" s="32" t="s">
        <v>307</v>
      </c>
      <c r="C5" s="33">
        <f>'P&amp;L'!B7</f>
      </c>
    </row>
    <row r="6" ht="24" customHeight="1" spans="2:3" x14ac:dyDescent="0.25">
      <c r="B6" s="34" t="s">
        <v>271</v>
      </c>
      <c r="C6" s="35">
        <f>'P&amp;L'!B15</f>
      </c>
    </row>
    <row r="7" ht="24" customHeight="1" spans="2:3" x14ac:dyDescent="0.25">
      <c r="B7" s="32" t="s">
        <v>272</v>
      </c>
      <c r="C7" s="36">
        <f>'P&amp;L'!B15/'P&amp;L'!B7</f>
      </c>
    </row>
    <row r="8" ht="24" customHeight="1" spans="2:3" x14ac:dyDescent="0.25">
      <c r="B8" s="34" t="s">
        <v>282</v>
      </c>
      <c r="C8" s="35">
        <f>'P&amp;L'!B28</f>
      </c>
    </row>
    <row r="9" ht="24" customHeight="1" spans="2:3" x14ac:dyDescent="0.25">
      <c r="B9" s="32" t="s">
        <v>285</v>
      </c>
      <c r="C9" s="33">
        <f>'P&amp;L'!B34</f>
      </c>
    </row>
    <row r="10" ht="24" customHeight="1" spans="2:3" x14ac:dyDescent="0.25">
      <c r="B10" s="34" t="s">
        <v>308</v>
      </c>
      <c r="C10" s="37">
        <f>COUNTIF('Sales Orders'!N:N,"Confirmed")+COUNTIF('Sales Orders'!N:N,"Quotation")</f>
      </c>
    </row>
    <row r="11" ht="24" customHeight="1" spans="2:3" x14ac:dyDescent="0.25">
      <c r="B11" s="32" t="s">
        <v>94</v>
      </c>
      <c r="C11" s="33">
        <f>'Inventory'!J32</f>
      </c>
    </row>
    <row r="12" ht="24" customHeight="1" spans="2:3" x14ac:dyDescent="0.25">
      <c r="B12" s="34" t="s">
        <v>309</v>
      </c>
      <c r="C12" s="35">
        <f>'AR Aging'!E12</f>
      </c>
    </row>
    <row r="13" ht="24" customHeight="1" spans="2:3" x14ac:dyDescent="0.25">
      <c r="B13" s="32" t="s">
        <v>310</v>
      </c>
      <c r="C13" s="33">
        <f>'AR Aging'!H12+'AR Aging'!I12+'AR Aging'!J12</f>
      </c>
    </row>
    <row r="14" ht="24" customHeight="1" spans="2:3" x14ac:dyDescent="0.25">
      <c r="B14" s="34" t="s">
        <v>311</v>
      </c>
      <c r="C14" s="37">
        <f>COUNTIF('Production'!J:J,"In Progress")+COUNTIF('Production'!J:J,"Scheduled")</f>
      </c>
    </row>
    <row r="15" ht="24" customHeight="1" spans="2:3" x14ac:dyDescent="0.25">
      <c r="B15" s="32" t="s">
        <v>312</v>
      </c>
      <c r="C15" s="38">
        <f>COUNTIF('Inventory'!H:H,"REORDER")</f>
      </c>
    </row>
  </sheetData>
  <mergeCells count="2">
    <mergeCell ref="B2:D2"/>
    <mergeCell ref="B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Items</vt:lpstr>
      <vt:lpstr>BOM</vt:lpstr>
      <vt:lpstr>Inventory</vt:lpstr>
      <vt:lpstr>Sales Orders</vt:lpstr>
      <vt:lpstr>Purchase Orders</vt:lpstr>
      <vt:lpstr>Production</vt:lpstr>
      <vt:lpstr>Trial Balance</vt:lpstr>
      <vt:lpstr>P&amp;L</vt:lpstr>
      <vt:lpstr>AR Aging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 Arena</dc:creator>
  <dc:title/>
  <dc:subject/>
  <dc:description/>
  <cp:keywords/>
  <cp:category/>
  <cp:lastModifiedBy>Unknown</cp:lastModifiedBy>
  <dcterms:created xsi:type="dcterms:W3CDTF">2026-05-14T13:02:18Z</dcterms:created>
  <dcterms:modified xsi:type="dcterms:W3CDTF">2026-05-14T13:02:18Z</dcterms:modified>
</cp:coreProperties>
</file>